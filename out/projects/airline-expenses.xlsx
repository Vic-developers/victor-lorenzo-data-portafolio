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yti\Downloads\"/>
    </mc:Choice>
  </mc:AlternateContent>
  <xr:revisionPtr revIDLastSave="0" documentId="13_ncr:1_{C9A7D4D1-B990-4B7E-8356-65C27BAF8369}" xr6:coauthVersionLast="47" xr6:coauthVersionMax="47" xr10:uidLastSave="{00000000-0000-0000-0000-000000000000}"/>
  <bookViews>
    <workbookView xWindow="28680" yWindow="-870" windowWidth="29040" windowHeight="15720" activeTab="3" xr2:uid="{00000000-000D-0000-FFFF-FFFF00000000}"/>
  </bookViews>
  <sheets>
    <sheet name="Datos Aerolíneas" sheetId="1" r:id="rId1"/>
    <sheet name="Tablas Dinámicas" sheetId="3" r:id="rId2"/>
    <sheet name="Tablas" sheetId="4" r:id="rId3"/>
    <sheet name="Dashboard" sheetId="5" r:id="rId4"/>
  </sheets>
  <definedNames>
    <definedName name="_xlnm._FilterDatabase" localSheetId="0" hidden="1">'Datos Aerolíneas'!$A$1:$D$91</definedName>
    <definedName name="SegmentaciónDeDatos_Aerolínea">#N/A</definedName>
    <definedName name="SegmentaciónDeDatos_Añ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H3" i="4"/>
  <c r="F4" i="4" s="1"/>
  <c r="B18" i="5"/>
  <c r="C2" i="4" a="1"/>
  <c r="C2" i="4" s="1"/>
  <c r="F25" i="4" l="1"/>
  <c r="F3" i="4"/>
  <c r="F2" i="4"/>
  <c r="F7" i="4"/>
  <c r="F6" i="4"/>
  <c r="F5" i="4"/>
  <c r="K7" i="4"/>
  <c r="K8" i="4"/>
  <c r="L5" i="4"/>
  <c r="K2" i="4"/>
  <c r="L6" i="4"/>
  <c r="L7" i="4"/>
  <c r="K11" i="4"/>
  <c r="L8" i="4"/>
  <c r="K12" i="4"/>
  <c r="L9" i="4"/>
  <c r="K9" i="4"/>
  <c r="K10" i="4"/>
  <c r="K13" i="4"/>
  <c r="L10" i="4"/>
  <c r="K14" i="4"/>
  <c r="L11" i="4"/>
  <c r="K3" i="4"/>
  <c r="K15" i="4"/>
  <c r="L12" i="4"/>
  <c r="K4" i="4"/>
  <c r="K16" i="4"/>
  <c r="L13" i="4"/>
  <c r="K5" i="4"/>
  <c r="L2" i="4"/>
  <c r="L14" i="4"/>
  <c r="K6" i="4"/>
  <c r="L3" i="4"/>
  <c r="L15" i="4"/>
  <c r="L4" i="4"/>
  <c r="L16" i="4"/>
  <c r="F34" i="4" l="1"/>
  <c r="F26" i="4"/>
  <c r="F27" i="4"/>
  <c r="F28" i="4"/>
  <c r="F29" i="4"/>
  <c r="F30" i="4"/>
  <c r="G3" i="4"/>
  <c r="G4" i="4"/>
  <c r="G5" i="4"/>
  <c r="G6" i="4"/>
  <c r="G7" i="4"/>
  <c r="G2" i="4"/>
  <c r="A5" i="4"/>
  <c r="B8" i="5"/>
  <c r="B6" i="5"/>
  <c r="A2" i="4"/>
  <c r="E2" i="4" a="1"/>
  <c r="E2" i="4" s="1"/>
  <c r="F3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<sst xmlns="http://schemas.openxmlformats.org/spreadsheetml/2006/main" count="140" uniqueCount="31">
  <si>
    <t>Iberia</t>
  </si>
  <si>
    <t>Air Europa</t>
  </si>
  <si>
    <t>Ryanair</t>
  </si>
  <si>
    <t>Easyjet</t>
  </si>
  <si>
    <t>Iberojet</t>
  </si>
  <si>
    <t>American Airlines</t>
  </si>
  <si>
    <t>Aerolínea</t>
  </si>
  <si>
    <t>Año</t>
  </si>
  <si>
    <t>Gastos combustible</t>
  </si>
  <si>
    <t>Gastos totales (miles)</t>
  </si>
  <si>
    <t>Gastos Totales</t>
  </si>
  <si>
    <t>Gastos Combustible</t>
  </si>
  <si>
    <t>Filtro Aerolínea</t>
  </si>
  <si>
    <t>Lista Aerolíneas</t>
  </si>
  <si>
    <t>Lista Años</t>
  </si>
  <si>
    <t>Gastos Totales por Año</t>
  </si>
  <si>
    <t>Gastos combustible por Año</t>
  </si>
  <si>
    <t>Otros</t>
  </si>
  <si>
    <t>Porcentaje</t>
  </si>
  <si>
    <t>DASHBOARD GASTOS AEROLÍNEAS</t>
  </si>
  <si>
    <t xml:space="preserve">Gastos totales (miles) </t>
  </si>
  <si>
    <t xml:space="preserve">Gastos combustible </t>
  </si>
  <si>
    <t xml:space="preserve">Total Gastos combustible </t>
  </si>
  <si>
    <t>Total Gastos  (miles)</t>
  </si>
  <si>
    <t>Años</t>
  </si>
  <si>
    <t>Aerolineas</t>
  </si>
  <si>
    <t>Promedio de Gastos combustible</t>
  </si>
  <si>
    <t>Gastos Totales por aerolínea</t>
  </si>
  <si>
    <t>Gastos Totales por aerolínea (Selección)</t>
  </si>
  <si>
    <t>Gastos Promedio Combustible por aerolínea</t>
  </si>
  <si>
    <t>Gastos Promedio Combustible por aerolínea (Selección)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</si>
</sst>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31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8"/>
      <color theme="3"/>
      <name val="Century Schoolbook"/>
      <family val="2"/>
      <scheme val="maj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006100"/>
      <name val="Corbel"/>
      <family val="2"/>
      <scheme val="minor"/>
    </font>
    <font>
      <sz val="11"/>
      <color rgb="FF9C0006"/>
      <name val="Corbel"/>
      <family val="2"/>
      <scheme val="minor"/>
    </font>
    <font>
      <sz val="11"/>
      <color rgb="FF9C5700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sz val="11"/>
      <color rgb="FFFF0000"/>
      <name val="Corbel"/>
      <family val="2"/>
      <scheme val="minor"/>
    </font>
    <font>
      <i/>
      <sz val="11"/>
      <color rgb="FF7F7F7F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b/>
      <sz val="11"/>
      <color theme="0"/>
      <name val="Corbel"/>
      <scheme val="minor"/>
    </font>
    <font>
      <sz val="14"/>
      <color theme="1"/>
      <name val="Corbel"/>
      <family val="2"/>
      <scheme val="minor"/>
    </font>
    <font>
      <b/>
      <sz val="20"/>
      <color theme="0"/>
      <name val="Calibri"/>
      <family val="2"/>
    </font>
    <font>
      <sz val="14"/>
      <color theme="0"/>
      <name val="Calibri"/>
    </font>
    <font>
      <sz val="14"/>
      <color theme="1"/>
      <name val="Calibri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22"/>
      <color theme="0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34" borderId="0" xfId="0" applyFill="1"/>
    <xf numFmtId="0" fontId="18" fillId="34" borderId="0" xfId="0" applyFont="1" applyFill="1"/>
    <xf numFmtId="164" fontId="19" fillId="0" borderId="0" xfId="0" applyNumberFormat="1" applyFont="1" applyAlignment="1">
      <alignment horizontal="center"/>
    </xf>
    <xf numFmtId="0" fontId="0" fillId="0" borderId="0" xfId="0" pivotButton="1"/>
    <xf numFmtId="0" fontId="19" fillId="0" borderId="0" xfId="0" applyFont="1" applyAlignment="1">
      <alignment horizontal="left"/>
    </xf>
    <xf numFmtId="0" fontId="20" fillId="34" borderId="0" xfId="0" applyFont="1" applyFill="1"/>
    <xf numFmtId="0" fontId="21" fillId="36" borderId="0" xfId="0" applyFont="1" applyFill="1" applyAlignment="1">
      <alignment horizontal="center"/>
    </xf>
    <xf numFmtId="164" fontId="22" fillId="0" borderId="0" xfId="0" applyNumberFormat="1" applyFont="1" applyAlignment="1">
      <alignment horizontal="center"/>
    </xf>
    <xf numFmtId="0" fontId="21" fillId="34" borderId="0" xfId="0" applyFont="1" applyFill="1" applyAlignment="1">
      <alignment horizontal="center"/>
    </xf>
    <xf numFmtId="0" fontId="23" fillId="34" borderId="0" xfId="0" applyFont="1" applyFill="1"/>
    <xf numFmtId="0" fontId="24" fillId="0" borderId="0" xfId="0" applyFont="1"/>
    <xf numFmtId="164" fontId="25" fillId="33" borderId="11" xfId="0" applyNumberFormat="1" applyFont="1" applyFill="1" applyBorder="1"/>
    <xf numFmtId="0" fontId="25" fillId="0" borderId="0" xfId="0" applyFont="1"/>
    <xf numFmtId="0" fontId="23" fillId="36" borderId="0" xfId="0" applyFont="1" applyFill="1"/>
    <xf numFmtId="164" fontId="25" fillId="35" borderId="11" xfId="0" applyNumberFormat="1" applyFont="1" applyFill="1" applyBorder="1"/>
    <xf numFmtId="0" fontId="26" fillId="0" borderId="0" xfId="0" applyFont="1"/>
    <xf numFmtId="165" fontId="25" fillId="37" borderId="0" xfId="42" applyNumberFormat="1" applyFont="1" applyFill="1"/>
    <xf numFmtId="0" fontId="27" fillId="34" borderId="0" xfId="0" applyFont="1" applyFill="1"/>
    <xf numFmtId="0" fontId="28" fillId="34" borderId="0" xfId="0" applyFont="1" applyFill="1"/>
    <xf numFmtId="0" fontId="23" fillId="34" borderId="12" xfId="0" applyFont="1" applyFill="1" applyBorder="1" applyAlignment="1">
      <alignment horizontal="center"/>
    </xf>
    <xf numFmtId="164" fontId="25" fillId="33" borderId="10" xfId="0" applyNumberFormat="1" applyFont="1" applyFill="1" applyBorder="1" applyAlignment="1">
      <alignment horizontal="center"/>
    </xf>
    <xf numFmtId="164" fontId="25" fillId="33" borderId="11" xfId="0" applyNumberFormat="1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164" fontId="25" fillId="38" borderId="10" xfId="0" applyNumberFormat="1" applyFont="1" applyFill="1" applyBorder="1" applyAlignment="1">
      <alignment horizontal="center"/>
    </xf>
    <xf numFmtId="164" fontId="25" fillId="38" borderId="11" xfId="0" applyNumberFormat="1" applyFont="1" applyFill="1" applyBorder="1" applyAlignment="1">
      <alignment horizontal="center"/>
    </xf>
    <xf numFmtId="0" fontId="29" fillId="0" borderId="0" xfId="0" applyFont="1"/>
    <xf numFmtId="0" fontId="30" fillId="34" borderId="0" xfId="0" applyFont="1" applyFill="1" applyAlignment="1">
      <alignment horizontal="center" vertical="center"/>
    </xf>
    <xf numFmtId="0" fontId="24" fillId="34" borderId="0" xfId="0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4">
    <dxf>
      <font>
        <sz val="11"/>
      </font>
    </dxf>
    <dxf>
      <font>
        <sz val="11"/>
      </font>
    </dxf>
    <dxf>
      <font>
        <sz val="14"/>
      </font>
    </dxf>
    <dxf>
      <font>
        <sz val="14"/>
      </font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>
          <bgColor theme="5"/>
        </patternFill>
      </fill>
    </dxf>
    <dxf>
      <font>
        <color theme="0"/>
      </font>
      <fill>
        <patternFill patternType="solid">
          <fgColor indexed="64"/>
          <bgColor theme="4"/>
        </patternFill>
      </fill>
    </dxf>
    <dxf>
      <alignment horizontal="center"/>
    </dxf>
    <dxf>
      <font>
        <sz val="14"/>
      </font>
    </dxf>
    <dxf>
      <alignment horizontal="center"/>
    </dxf>
    <dxf>
      <font>
        <sz val="14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theme="0"/>
      </font>
    </dxf>
    <dxf>
      <fill>
        <patternFill patternType="solid">
          <bgColor theme="4"/>
        </patternFill>
      </fill>
    </dxf>
    <dxf>
      <alignment horizontal="center"/>
    </dxf>
    <dxf>
      <font>
        <sz val="14"/>
      </font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  <alignment horizontal="center"/>
    </dxf>
    <dxf>
      <font>
        <sz val="14"/>
      </font>
    </dxf>
    <dxf>
      <font>
        <sz val="14"/>
      </font>
    </dxf>
    <dxf>
      <font>
        <sz val="14"/>
      </font>
      <alignment horizontal="center"/>
    </dxf>
    <dxf>
      <numFmt numFmtId="164" formatCode="&quot;$&quot;#,##0"/>
      <fill>
        <patternFill patternType="none">
          <fgColor indexed="64"/>
          <bgColor auto="1"/>
        </patternFill>
      </fill>
    </dxf>
    <dxf>
      <numFmt numFmtId="164" formatCode="&quot;$&quot;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[5.4+Dashboard+Aerolineas (1).xlsx]Tablas Dinámicas!TD_AñosvsGastos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s-DO" sz="1800" b="1">
                <a:solidFill>
                  <a:schemeClr val="accen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Gastos Totales </a:t>
            </a:r>
            <a:r>
              <a:rPr lang="es-DO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y de </a:t>
            </a:r>
            <a:r>
              <a:rPr lang="es-DO" sz="1800" b="1">
                <a:solidFill>
                  <a:schemeClr val="accent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Combustible</a:t>
            </a:r>
            <a:r>
              <a:rPr lang="es-DO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DO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972629949788884E-2"/>
          <c:y val="0.19056865514093346"/>
          <c:w val="0.9375726599052836"/>
          <c:h val="0.68754101049868765"/>
        </c:manualLayout>
      </c:layout>
      <c:lineChart>
        <c:grouping val="standard"/>
        <c:varyColors val="0"/>
        <c:ser>
          <c:idx val="0"/>
          <c:order val="0"/>
          <c:tx>
            <c:strRef>
              <c:f>'Tablas Dinámicas'!$Q$5</c:f>
              <c:strCache>
                <c:ptCount val="1"/>
                <c:pt idx="0">
                  <c:v>Total Gastos combustible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Dinámicas'!$P$6:$P$20</c:f>
              <c:strCach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strCache>
            </c:strRef>
          </c:cat>
          <c:val>
            <c:numRef>
              <c:f>'Tablas Dinámicas'!$Q$6:$Q$20</c:f>
              <c:numCache>
                <c:formatCode>"$"#,##0</c:formatCode>
                <c:ptCount val="15"/>
                <c:pt idx="0">
                  <c:v>679554</c:v>
                </c:pt>
                <c:pt idx="1">
                  <c:v>701726</c:v>
                </c:pt>
                <c:pt idx="2">
                  <c:v>705968</c:v>
                </c:pt>
                <c:pt idx="3">
                  <c:v>747634</c:v>
                </c:pt>
                <c:pt idx="4">
                  <c:v>1280945</c:v>
                </c:pt>
                <c:pt idx="5">
                  <c:v>1675035</c:v>
                </c:pt>
                <c:pt idx="6">
                  <c:v>1832425</c:v>
                </c:pt>
                <c:pt idx="7">
                  <c:v>2106566</c:v>
                </c:pt>
                <c:pt idx="8">
                  <c:v>2310525</c:v>
                </c:pt>
                <c:pt idx="9">
                  <c:v>3347542</c:v>
                </c:pt>
                <c:pt idx="10">
                  <c:v>5148943</c:v>
                </c:pt>
                <c:pt idx="11">
                  <c:v>6046129</c:v>
                </c:pt>
                <c:pt idx="12">
                  <c:v>5675129</c:v>
                </c:pt>
                <c:pt idx="13">
                  <c:v>5209027</c:v>
                </c:pt>
                <c:pt idx="14">
                  <c:v>4984323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0-4D08-9667-E8936D4A9923}"/>
            </c:ext>
          </c:extLst>
        </c:ser>
        <c:ser>
          <c:idx val="1"/>
          <c:order val="1"/>
          <c:tx>
            <c:strRef>
              <c:f>'Tablas Dinámicas'!$R$5</c:f>
              <c:strCache>
                <c:ptCount val="1"/>
                <c:pt idx="0">
                  <c:v>Total Gastos  (miles)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Dinámicas'!$P$6:$P$20</c:f>
              <c:strCach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strCache>
            </c:strRef>
          </c:cat>
          <c:val>
            <c:numRef>
              <c:f>'Tablas Dinámicas'!$R$6:$R$20</c:f>
              <c:numCache>
                <c:formatCode>"$"#,##0</c:formatCode>
                <c:ptCount val="15"/>
                <c:pt idx="0">
                  <c:v>2301736</c:v>
                </c:pt>
                <c:pt idx="1">
                  <c:v>2506118</c:v>
                </c:pt>
                <c:pt idx="2">
                  <c:v>2858803</c:v>
                </c:pt>
                <c:pt idx="3">
                  <c:v>3408925</c:v>
                </c:pt>
                <c:pt idx="4">
                  <c:v>3941906</c:v>
                </c:pt>
                <c:pt idx="5">
                  <c:v>4355582</c:v>
                </c:pt>
                <c:pt idx="6">
                  <c:v>4848733</c:v>
                </c:pt>
                <c:pt idx="7">
                  <c:v>5548301</c:v>
                </c:pt>
                <c:pt idx="8">
                  <c:v>6454748</c:v>
                </c:pt>
                <c:pt idx="9">
                  <c:v>8020356</c:v>
                </c:pt>
                <c:pt idx="10">
                  <c:v>9661270</c:v>
                </c:pt>
                <c:pt idx="11">
                  <c:v>10634533</c:v>
                </c:pt>
                <c:pt idx="12">
                  <c:v>11167822</c:v>
                </c:pt>
                <c:pt idx="13">
                  <c:v>12133405</c:v>
                </c:pt>
                <c:pt idx="14">
                  <c:v>13184907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0-4D08-9667-E8936D4A9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342848"/>
        <c:axId val="1108341888"/>
      </c:lineChart>
      <c:catAx>
        <c:axId val="11083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08341888"/>
        <c:crosses val="autoZero"/>
        <c:auto val="1"/>
        <c:lblAlgn val="ctr"/>
        <c:lblOffset val="100"/>
        <c:noMultiLvlLbl val="0"/>
      </c:catAx>
      <c:valAx>
        <c:axId val="110834188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B&quot;\ 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0834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[5.4+Dashboard+Aerolineas (1).xlsx]Tablas Dinámicas!TablaDinámica4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/>
                </a:solidFill>
              </a:rPr>
              <a:t>Gastos</a:t>
            </a:r>
            <a:r>
              <a:rPr lang="en-US" sz="1800" b="1" baseline="0">
                <a:solidFill>
                  <a:schemeClr val="accent1"/>
                </a:solidFill>
              </a:rPr>
              <a:t> Totales </a:t>
            </a:r>
            <a:r>
              <a:rPr lang="en-US" sz="1800" b="1" baseline="0"/>
              <a:t>por Aerolineas</a:t>
            </a:r>
            <a:endParaRPr lang="en-US" sz="1800" b="1"/>
          </a:p>
        </c:rich>
      </c:tx>
      <c:layout>
        <c:manualLayout>
          <c:xMode val="edge"/>
          <c:yMode val="edge"/>
          <c:x val="0.34627961368089999"/>
          <c:y val="4.6296438959335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745758099747428E-2"/>
          <c:y val="0.19755682810910671"/>
          <c:w val="0.89155692428690314"/>
          <c:h val="0.68651246719160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Dinámicas'!$U$5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Dinámicas'!$T$6:$T$11</c:f>
              <c:strCache>
                <c:ptCount val="6"/>
                <c:pt idx="0">
                  <c:v>Air Europa</c:v>
                </c:pt>
                <c:pt idx="1">
                  <c:v>American Airlines</c:v>
                </c:pt>
                <c:pt idx="2">
                  <c:v>Easyjet</c:v>
                </c:pt>
                <c:pt idx="3">
                  <c:v>Iberia</c:v>
                </c:pt>
                <c:pt idx="4">
                  <c:v>Iberojet</c:v>
                </c:pt>
                <c:pt idx="5">
                  <c:v>Ryanair</c:v>
                </c:pt>
              </c:strCache>
            </c:strRef>
          </c:cat>
          <c:val>
            <c:numRef>
              <c:f>'Tablas Dinámicas'!$U$6:$U$11</c:f>
              <c:numCache>
                <c:formatCode>"$"#,##0</c:formatCode>
                <c:ptCount val="6"/>
                <c:pt idx="0">
                  <c:v>31918255</c:v>
                </c:pt>
                <c:pt idx="1">
                  <c:v>4705537</c:v>
                </c:pt>
                <c:pt idx="2">
                  <c:v>9571326</c:v>
                </c:pt>
                <c:pt idx="3">
                  <c:v>39585050</c:v>
                </c:pt>
                <c:pt idx="4">
                  <c:v>4399139</c:v>
                </c:pt>
                <c:pt idx="5">
                  <c:v>10847838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3-4959-BAA9-B44ECD71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792976"/>
        <c:axId val="1191793456"/>
      </c:barChart>
      <c:catAx>
        <c:axId val="11917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91793456"/>
        <c:crosses val="autoZero"/>
        <c:auto val="1"/>
        <c:lblAlgn val="ctr"/>
        <c:lblOffset val="100"/>
        <c:noMultiLvlLbl val="0"/>
      </c:catAx>
      <c:valAx>
        <c:axId val="1191793456"/>
        <c:scaling>
          <c:orientation val="minMax"/>
        </c:scaling>
        <c:delete val="0"/>
        <c:axPos val="l"/>
        <c:numFmt formatCode="&quot;$&quot;#,##0,,\ 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917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[5.4+Dashboard+Aerolineas (1).xlsx]Tablas Dinámicas!TablaDinámica5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</a:rPr>
              <a:t>Gasto Promedio Combustible</a:t>
            </a:r>
            <a:r>
              <a:rPr lang="en-US" b="1"/>
              <a:t> por Aerolineas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853920714263946"/>
          <c:y val="0.16134553807808813"/>
          <c:w val="0.43271581559984584"/>
          <c:h val="0.77239346065781"/>
        </c:manualLayout>
      </c:layout>
      <c:doughnutChart>
        <c:varyColors val="1"/>
        <c:ser>
          <c:idx val="0"/>
          <c:order val="0"/>
          <c:tx>
            <c:strRef>
              <c:f>'Tablas Dinámicas'!$U$13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7-4399-ADAB-647D3DEEE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7-4399-ADAB-647D3DEEE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37-4399-ADAB-647D3DEEE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37-4399-ADAB-647D3DEEE0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37-4399-ADAB-647D3DEEE0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37-4399-ADAB-647D3DEEE06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'Tablas Dinámicas'!$T$14:$T$19</c:f>
              <c:strCache>
                <c:ptCount val="6"/>
                <c:pt idx="0">
                  <c:v>Air Europa</c:v>
                </c:pt>
                <c:pt idx="1">
                  <c:v>American Airlines</c:v>
                </c:pt>
                <c:pt idx="2">
                  <c:v>Easyjet</c:v>
                </c:pt>
                <c:pt idx="3">
                  <c:v>Iberia</c:v>
                </c:pt>
                <c:pt idx="4">
                  <c:v>Iberojet</c:v>
                </c:pt>
                <c:pt idx="5">
                  <c:v>Ryanair</c:v>
                </c:pt>
              </c:strCache>
            </c:strRef>
          </c:cat>
          <c:val>
            <c:numRef>
              <c:f>'Tablas Dinámicas'!$U$14:$U$19</c:f>
              <c:numCache>
                <c:formatCode>"$"#,##0</c:formatCode>
                <c:ptCount val="6"/>
                <c:pt idx="0">
                  <c:v>466286.73333333334</c:v>
                </c:pt>
                <c:pt idx="1">
                  <c:v>473695.33333333331</c:v>
                </c:pt>
                <c:pt idx="2">
                  <c:v>473368.13333333336</c:v>
                </c:pt>
                <c:pt idx="3">
                  <c:v>462320.2</c:v>
                </c:pt>
                <c:pt idx="4">
                  <c:v>478078.8</c:v>
                </c:pt>
                <c:pt idx="5">
                  <c:v>476348.86666666664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A-4C07-A239-D4536D29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 b="1">
                <a:solidFill>
                  <a:schemeClr val="accent2"/>
                </a:solidFill>
              </a:rPr>
              <a:t>Gastos promedio Combustible </a:t>
            </a:r>
            <a:r>
              <a:rPr lang="es-DO" sz="20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para</a:t>
            </a:r>
          </a:p>
        </c:rich>
      </c:tx>
      <c:layout>
        <c:manualLayout>
          <c:xMode val="edge"/>
          <c:yMode val="edge"/>
          <c:x val="0.26033932394528264"/>
          <c:y val="3.8073088757247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0.33171839447400508"/>
          <c:y val="0.2532456157424528"/>
          <c:w val="0.34710919127215872"/>
          <c:h val="0.6696450036271357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13-4EB1-B7C9-32D9CC5136EB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F13-4EB1-B7C9-32D9CC5136EB}"/>
              </c:ext>
            </c:extLst>
          </c:dPt>
          <c:cat>
            <c:strRef>
              <c:f>Tablas!$E$32:$E$33</c:f>
              <c:strCache>
                <c:ptCount val="2"/>
                <c:pt idx="0">
                  <c:v>Gastos Promedio Combustible por aerolínea (Selección)</c:v>
                </c:pt>
                <c:pt idx="1">
                  <c:v>Otros</c:v>
                </c:pt>
              </c:strCache>
            </c:strRef>
          </c:cat>
          <c:val>
            <c:numRef>
              <c:f>Tablas!$F$32:$F$33</c:f>
              <c:numCache>
                <c:formatCode>"$"#,##0</c:formatCode>
                <c:ptCount val="2"/>
                <c:pt idx="0">
                  <c:v>304818</c:v>
                </c:pt>
                <c:pt idx="1">
                  <c:v>2326410.8666666667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3-4EB1-B7C9-32D9CC513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1800" b="1">
                <a:solidFill>
                  <a:schemeClr val="accen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Gastos Totales </a:t>
            </a:r>
            <a:r>
              <a:rPr lang="es-DO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y de </a:t>
            </a:r>
            <a:r>
              <a:rPr lang="es-DO" sz="1800" b="1">
                <a:solidFill>
                  <a:schemeClr val="accent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Combustible</a:t>
            </a:r>
            <a:r>
              <a:rPr lang="es-DO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por Año</a:t>
            </a:r>
          </a:p>
        </c:rich>
      </c:tx>
      <c:layout>
        <c:manualLayout>
          <c:xMode val="edge"/>
          <c:yMode val="edge"/>
          <c:x val="0.31010034831647038"/>
          <c:y val="2.3020977639289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7.5002902637253274E-2"/>
          <c:y val="0.15904935144739865"/>
          <c:w val="0.90830330485984412"/>
          <c:h val="0.7252063391071577"/>
        </c:manualLayout>
      </c:layout>
      <c:lineChart>
        <c:grouping val="standard"/>
        <c:varyColors val="0"/>
        <c:ser>
          <c:idx val="1"/>
          <c:order val="0"/>
          <c:tx>
            <c:strRef>
              <c:f>Tablas!$K$1</c:f>
              <c:strCache>
                <c:ptCount val="1"/>
                <c:pt idx="0">
                  <c:v>Gastos Totales por Año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Tablas!$J$2:$J$16</c:f>
              <c:numCache>
                <c:formatCode>General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Tablas!$K$2:$K$16</c:f>
              <c:numCache>
                <c:formatCode>"$"#,##0</c:formatCode>
                <c:ptCount val="15"/>
                <c:pt idx="0">
                  <c:v>569292</c:v>
                </c:pt>
                <c:pt idx="1">
                  <c:v>640614</c:v>
                </c:pt>
                <c:pt idx="2">
                  <c:v>777655</c:v>
                </c:pt>
                <c:pt idx="3">
                  <c:v>999294</c:v>
                </c:pt>
                <c:pt idx="4">
                  <c:v>1203970</c:v>
                </c:pt>
                <c:pt idx="5">
                  <c:v>1358100</c:v>
                </c:pt>
                <c:pt idx="6">
                  <c:v>1501350</c:v>
                </c:pt>
                <c:pt idx="7">
                  <c:v>1709270</c:v>
                </c:pt>
                <c:pt idx="8">
                  <c:v>2025400</c:v>
                </c:pt>
                <c:pt idx="9">
                  <c:v>2548370</c:v>
                </c:pt>
                <c:pt idx="10">
                  <c:v>3137740</c:v>
                </c:pt>
                <c:pt idx="11">
                  <c:v>3557700</c:v>
                </c:pt>
                <c:pt idx="12">
                  <c:v>3717740</c:v>
                </c:pt>
                <c:pt idx="13">
                  <c:v>3962370</c:v>
                </c:pt>
                <c:pt idx="14">
                  <c:v>4209390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E-4BB1-9700-7C28BB4B81F2}"/>
            </c:ext>
          </c:extLst>
        </c:ser>
        <c:ser>
          <c:idx val="2"/>
          <c:order val="1"/>
          <c:tx>
            <c:strRef>
              <c:f>Tablas!$L$1</c:f>
              <c:strCache>
                <c:ptCount val="1"/>
                <c:pt idx="0">
                  <c:v>Gastos combustible por Año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Tablas!$J$2:$J$16</c:f>
              <c:numCache>
                <c:formatCode>General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Tablas!$L$2:$L$16</c:f>
              <c:numCache>
                <c:formatCode>"$"#,##0</c:formatCode>
                <c:ptCount val="15"/>
                <c:pt idx="0">
                  <c:v>103795</c:v>
                </c:pt>
                <c:pt idx="1">
                  <c:v>111477</c:v>
                </c:pt>
                <c:pt idx="2">
                  <c:v>118664</c:v>
                </c:pt>
                <c:pt idx="3">
                  <c:v>114797</c:v>
                </c:pt>
                <c:pt idx="4">
                  <c:v>215322</c:v>
                </c:pt>
                <c:pt idx="5">
                  <c:v>281704</c:v>
                </c:pt>
                <c:pt idx="6">
                  <c:v>304818</c:v>
                </c:pt>
                <c:pt idx="7">
                  <c:v>348609</c:v>
                </c:pt>
                <c:pt idx="8">
                  <c:v>374579</c:v>
                </c:pt>
                <c:pt idx="9">
                  <c:v>544109</c:v>
                </c:pt>
                <c:pt idx="10">
                  <c:v>853356</c:v>
                </c:pt>
                <c:pt idx="11">
                  <c:v>1003200</c:v>
                </c:pt>
                <c:pt idx="12">
                  <c:v>941977</c:v>
                </c:pt>
                <c:pt idx="13">
                  <c:v>856533</c:v>
                </c:pt>
                <c:pt idx="14">
                  <c:v>821361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E-4BB1-9700-7C28BB4B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462255"/>
        <c:axId val="1119463215"/>
      </c:lineChart>
      <c:catAx>
        <c:axId val="11194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19463215"/>
        <c:crosses val="autoZero"/>
        <c:auto val="1"/>
        <c:lblAlgn val="ctr"/>
        <c:lblOffset val="100"/>
        <c:noMultiLvlLbl val="0"/>
      </c:catAx>
      <c:valAx>
        <c:axId val="11194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\ 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1946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/>
                </a:solidFill>
              </a:rPr>
              <a:t>Gastos Totales </a:t>
            </a:r>
            <a:r>
              <a:rPr lang="en-US" sz="2000" b="1"/>
              <a:t>por aerolínea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Tablas!$F$1</c:f>
              <c:strCache>
                <c:ptCount val="1"/>
                <c:pt idx="0">
                  <c:v>Gastos Totales por aerolínea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Tablas!$E$2:$E$7</c:f>
              <c:strCache>
                <c:ptCount val="6"/>
                <c:pt idx="0">
                  <c:v>Iberia</c:v>
                </c:pt>
                <c:pt idx="1">
                  <c:v>Air Europa</c:v>
                </c:pt>
                <c:pt idx="2">
                  <c:v>Ryanair</c:v>
                </c:pt>
                <c:pt idx="3">
                  <c:v>Easyjet</c:v>
                </c:pt>
                <c:pt idx="4">
                  <c:v>Iberojet</c:v>
                </c:pt>
                <c:pt idx="5">
                  <c:v>American Airlines</c:v>
                </c:pt>
              </c:strCache>
            </c:strRef>
          </c:cat>
          <c:val>
            <c:numRef>
              <c:f>Tablas!$F$2:$F$7</c:f>
              <c:numCache>
                <c:formatCode>"$"#,##0</c:formatCode>
                <c:ptCount val="6"/>
                <c:pt idx="0">
                  <c:v>2022890</c:v>
                </c:pt>
                <c:pt idx="1">
                  <c:v>1501350</c:v>
                </c:pt>
                <c:pt idx="2">
                  <c:v>575347</c:v>
                </c:pt>
                <c:pt idx="3">
                  <c:v>420915</c:v>
                </c:pt>
                <c:pt idx="4">
                  <c:v>183169</c:v>
                </c:pt>
                <c:pt idx="5">
                  <c:v>145062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E-40AE-AD3D-3DF1C6F3A026}"/>
            </c:ext>
          </c:extLst>
        </c:ser>
        <c:ser>
          <c:idx val="1"/>
          <c:order val="1"/>
          <c:tx>
            <c:strRef>
              <c:f>Tablas!$G$1</c:f>
              <c:strCache>
                <c:ptCount val="1"/>
                <c:pt idx="0">
                  <c:v>Gastos Totales por aerolínea (Selección)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Tablas!$G$2:$G$7</c:f>
              <c:numCache>
                <c:formatCode>"$"#,##0</c:formatCode>
                <c:ptCount val="6"/>
                <c:pt idx="0">
                  <c:v>0</c:v>
                </c:pt>
                <c:pt idx="1">
                  <c:v>1501350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E-40AE-AD3D-3DF1C6F3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33310431"/>
        <c:axId val="433308991"/>
      </c:barChart>
      <c:catAx>
        <c:axId val="43331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433308991"/>
        <c:crosses val="autoZero"/>
        <c:auto val="1"/>
        <c:lblAlgn val="ctr"/>
        <c:lblOffset val="100"/>
        <c:noMultiLvlLbl val="0"/>
      </c:catAx>
      <c:valAx>
        <c:axId val="433308991"/>
        <c:scaling>
          <c:orientation val="minMax"/>
        </c:scaling>
        <c:delete val="0"/>
        <c:axPos val="l"/>
        <c:numFmt formatCode="&quot;$&quot;#,##0,,\ 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433310431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1400" b="1">
                <a:solidFill>
                  <a:schemeClr val="accent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Gastos promedio Combustible </a:t>
            </a:r>
            <a:r>
              <a:rPr lang="es-DO" sz="16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para</a:t>
            </a:r>
            <a:endParaRPr lang="es-DO" sz="14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1641224442140978"/>
          <c:y val="3.8073138486452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0.23465118442667562"/>
          <c:y val="0.29794662067682531"/>
          <c:w val="0.44752355056278081"/>
          <c:h val="0.6473157852201213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B-49C3-AC2E-A6163A4CD8E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DB-49C3-AC2E-A6163A4CD8EA}"/>
              </c:ext>
            </c:extLst>
          </c:dPt>
          <c:cat>
            <c:strRef>
              <c:f>Tablas!$E$32:$E$33</c:f>
              <c:strCache>
                <c:ptCount val="2"/>
                <c:pt idx="0">
                  <c:v>Gastos Promedio Combustible por aerolínea (Selección)</c:v>
                </c:pt>
                <c:pt idx="1">
                  <c:v>Otros</c:v>
                </c:pt>
              </c:strCache>
            </c:strRef>
          </c:cat>
          <c:val>
            <c:numRef>
              <c:f>Tablas!$F$32:$F$33</c:f>
              <c:numCache>
                <c:formatCode>"$"#,##0</c:formatCode>
                <c:ptCount val="2"/>
                <c:pt idx="0">
                  <c:v>304818</c:v>
                </c:pt>
                <c:pt idx="1">
                  <c:v>2326410.8666666667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B-49C3-AC2E-A6163A4CD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1800" b="1">
                <a:solidFill>
                  <a:schemeClr val="accen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Gastos Totales </a:t>
            </a:r>
            <a:r>
              <a:rPr lang="es-DO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y de </a:t>
            </a:r>
            <a:r>
              <a:rPr lang="es-DO" sz="1800" b="1">
                <a:solidFill>
                  <a:schemeClr val="accent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Combustible</a:t>
            </a:r>
            <a:r>
              <a:rPr lang="es-DO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por Año</a:t>
            </a:r>
          </a:p>
        </c:rich>
      </c:tx>
      <c:layout>
        <c:manualLayout>
          <c:xMode val="edge"/>
          <c:yMode val="edge"/>
          <c:x val="0.31010034831647038"/>
          <c:y val="2.3020977639289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6.008531211513083E-2"/>
          <c:y val="0.15904935144739865"/>
          <c:w val="0.92322085830119316"/>
          <c:h val="0.7252063391071577"/>
        </c:manualLayout>
      </c:layout>
      <c:lineChart>
        <c:grouping val="standard"/>
        <c:varyColors val="0"/>
        <c:ser>
          <c:idx val="1"/>
          <c:order val="0"/>
          <c:tx>
            <c:strRef>
              <c:f>Tablas!$K$1</c:f>
              <c:strCache>
                <c:ptCount val="1"/>
                <c:pt idx="0">
                  <c:v>Gastos Totales por Año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Tablas!$J$2:$J$16</c:f>
              <c:numCache>
                <c:formatCode>General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Tablas!$K$2:$K$16</c:f>
              <c:numCache>
                <c:formatCode>"$"#,##0</c:formatCode>
                <c:ptCount val="15"/>
                <c:pt idx="0">
                  <c:v>569292</c:v>
                </c:pt>
                <c:pt idx="1">
                  <c:v>640614</c:v>
                </c:pt>
                <c:pt idx="2">
                  <c:v>777655</c:v>
                </c:pt>
                <c:pt idx="3">
                  <c:v>999294</c:v>
                </c:pt>
                <c:pt idx="4">
                  <c:v>1203970</c:v>
                </c:pt>
                <c:pt idx="5">
                  <c:v>1358100</c:v>
                </c:pt>
                <c:pt idx="6">
                  <c:v>1501350</c:v>
                </c:pt>
                <c:pt idx="7">
                  <c:v>1709270</c:v>
                </c:pt>
                <c:pt idx="8">
                  <c:v>2025400</c:v>
                </c:pt>
                <c:pt idx="9">
                  <c:v>2548370</c:v>
                </c:pt>
                <c:pt idx="10">
                  <c:v>3137740</c:v>
                </c:pt>
                <c:pt idx="11">
                  <c:v>3557700</c:v>
                </c:pt>
                <c:pt idx="12">
                  <c:v>3717740</c:v>
                </c:pt>
                <c:pt idx="13">
                  <c:v>3962370</c:v>
                </c:pt>
                <c:pt idx="14">
                  <c:v>4209390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A14-8A9B-33A37E2EEE65}"/>
            </c:ext>
          </c:extLst>
        </c:ser>
        <c:ser>
          <c:idx val="2"/>
          <c:order val="1"/>
          <c:tx>
            <c:strRef>
              <c:f>Tablas!$L$1</c:f>
              <c:strCache>
                <c:ptCount val="1"/>
                <c:pt idx="0">
                  <c:v>Gastos combustible por Año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Tablas!$J$2:$J$16</c:f>
              <c:numCache>
                <c:formatCode>General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Tablas!$L$2:$L$16</c:f>
              <c:numCache>
                <c:formatCode>"$"#,##0</c:formatCode>
                <c:ptCount val="15"/>
                <c:pt idx="0">
                  <c:v>103795</c:v>
                </c:pt>
                <c:pt idx="1">
                  <c:v>111477</c:v>
                </c:pt>
                <c:pt idx="2">
                  <c:v>118664</c:v>
                </c:pt>
                <c:pt idx="3">
                  <c:v>114797</c:v>
                </c:pt>
                <c:pt idx="4">
                  <c:v>215322</c:v>
                </c:pt>
                <c:pt idx="5">
                  <c:v>281704</c:v>
                </c:pt>
                <c:pt idx="6">
                  <c:v>304818</c:v>
                </c:pt>
                <c:pt idx="7">
                  <c:v>348609</c:v>
                </c:pt>
                <c:pt idx="8">
                  <c:v>374579</c:v>
                </c:pt>
                <c:pt idx="9">
                  <c:v>544109</c:v>
                </c:pt>
                <c:pt idx="10">
                  <c:v>853356</c:v>
                </c:pt>
                <c:pt idx="11">
                  <c:v>1003200</c:v>
                </c:pt>
                <c:pt idx="12">
                  <c:v>941977</c:v>
                </c:pt>
                <c:pt idx="13">
                  <c:v>856533</c:v>
                </c:pt>
                <c:pt idx="14">
                  <c:v>821361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A14-8A9B-33A37E2EE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462255"/>
        <c:axId val="1119463215"/>
      </c:lineChart>
      <c:catAx>
        <c:axId val="11194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19463215"/>
        <c:crosses val="autoZero"/>
        <c:auto val="1"/>
        <c:lblAlgn val="ctr"/>
        <c:lblOffset val="100"/>
        <c:noMultiLvlLbl val="0"/>
      </c:catAx>
      <c:valAx>
        <c:axId val="11194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\ 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DO"/>
          </a:p>
        </c:txPr>
        <c:crossAx val="111946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26" fmlaLink="Tablas!$C$3" fmlaRange="Tablas!$E$2:$E$7" noThreeD="1" sel="2" val="0"/>
</file>

<file path=xl/ctrlProps/ctrlProp2.xml><?xml version="1.0" encoding="utf-8"?>
<formControlPr xmlns="http://schemas.microsoft.com/office/spreadsheetml/2009/9/main" objectType="Spin" dx="26" fmlaLink="Tablas!$H$2" max="15" min="1" page="10" val="7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4</xdr:row>
      <xdr:rowOff>0</xdr:rowOff>
    </xdr:from>
    <xdr:to>
      <xdr:col>14</xdr:col>
      <xdr:colOff>15240</xdr:colOff>
      <xdr:row>16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E5E4E7-AC34-E055-933F-1360895D0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</xdr:row>
      <xdr:rowOff>60960</xdr:rowOff>
    </xdr:from>
    <xdr:to>
      <xdr:col>0</xdr:col>
      <xdr:colOff>1702526</xdr:colOff>
      <xdr:row>16</xdr:row>
      <xdr:rowOff>68580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erolínea">
              <a:extLst>
                <a:ext uri="{FF2B5EF4-FFF2-40B4-BE49-F238E27FC236}">
                  <a16:creationId xmlns:a16="http://schemas.microsoft.com/office/drawing/2014/main" id="{3E9BC874-C5CE-A665-B089-38491F6FEB6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erolín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57103"/>
              <a:ext cx="1702526" cy="1836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664030</xdr:colOff>
      <xdr:row>19</xdr:row>
      <xdr:rowOff>149136</xdr:rowOff>
    </xdr:from>
    <xdr:to>
      <xdr:col>14</xdr:col>
      <xdr:colOff>7621</xdr:colOff>
      <xdr:row>34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E22014-3D12-447A-644D-86653ADF7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136075</xdr:rowOff>
    </xdr:from>
    <xdr:to>
      <xdr:col>3</xdr:col>
      <xdr:colOff>500743</xdr:colOff>
      <xdr:row>34</xdr:row>
      <xdr:rowOff>163285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B123DA-A87C-A56D-3B81-3BAFCE735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16</xdr:row>
      <xdr:rowOff>119742</xdr:rowOff>
    </xdr:from>
    <xdr:to>
      <xdr:col>13</xdr:col>
      <xdr:colOff>745991</xdr:colOff>
      <xdr:row>19</xdr:row>
      <xdr:rowOff>87085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5B8042B-30C8-A0DF-C58E-7C1A58B02B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44685"/>
              <a:ext cx="13073742" cy="653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4717142</xdr:colOff>
      <xdr:row>8</xdr:row>
      <xdr:rowOff>130958</xdr:rowOff>
    </xdr:from>
    <xdr:to>
      <xdr:col>6</xdr:col>
      <xdr:colOff>3065356</xdr:colOff>
      <xdr:row>21</xdr:row>
      <xdr:rowOff>124761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3A2454-5FB4-F279-72F6-762F501F4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169372</xdr:colOff>
      <xdr:row>23</xdr:row>
      <xdr:rowOff>29267</xdr:rowOff>
    </xdr:from>
    <xdr:to>
      <xdr:col>12</xdr:col>
      <xdr:colOff>121227</xdr:colOff>
      <xdr:row>41</xdr:row>
      <xdr:rowOff>17318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347A64-1232-E20C-FCE9-AC5F7A8C8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0.40428</cdr:x>
      <cdr:y>0.39699</cdr:y>
    </cdr:from>
    <cdr:to>
      <cdr:x>0.61041</cdr:x>
      <cdr:y>0.7766</cdr:y>
    </cdr:to>
    <cdr:sp macro="" textlink="Tablas!$F$34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57A7CE6-19CD-8916-5FEE-A3CF966B7A1A}"/>
            </a:ext>
          </a:extLst>
        </cdr:cNvPr>
        <cdr:cNvSpPr txBox="1"/>
      </cdr:nvSpPr>
      <cdr:spPr>
        <a:xfrm xmlns:a="http://schemas.openxmlformats.org/drawingml/2006/main">
          <a:off x="2965239" y="1509308"/>
          <a:ext cx="1511904" cy="1443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F71EE7D-01E3-48CD-A5A8-C40FDE1E9327}" type="TxLink">
            <a:rPr lang="en-US" sz="4000" b="1" i="0" u="none" strike="noStrike" kern="1200">
              <a:solidFill>
                <a:schemeClr val="accent2"/>
              </a:solidFill>
              <a:latin typeface="Calibri"/>
              <a:ea typeface="Calibri"/>
              <a:cs typeface="Calibri"/>
            </a:rPr>
            <a:pPr algn="ctr"/>
            <a:t>11.6%</a:t>
          </a:fld>
          <a:endParaRPr lang="es-DO" sz="2800" b="1" kern="12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0.3786</cdr:x>
      <cdr:y>0.11577</cdr:y>
    </cdr:from>
    <cdr:to>
      <cdr:x>0.63573</cdr:x>
      <cdr:y>0.2494</cdr:y>
    </cdr:to>
    <cdr:sp macro="" textlink="Tablas!$C$2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DE2F80FE-E727-026B-E835-CBD807EA064F}"/>
            </a:ext>
          </a:extLst>
        </cdr:cNvPr>
        <cdr:cNvSpPr txBox="1"/>
      </cdr:nvSpPr>
      <cdr:spPr>
        <a:xfrm xmlns:a="http://schemas.openxmlformats.org/drawingml/2006/main">
          <a:off x="3667644" y="418476"/>
          <a:ext cx="2490949" cy="483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B82BD7E-D70B-43B1-B120-7B886676FEDC}" type="TxLink">
            <a:rPr lang="en-US" sz="2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Air Europa</a:t>
          </a:fld>
          <a:endParaRPr lang="es-DO" sz="1600" b="1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154781</xdr:colOff>
      <xdr:row>19</xdr:row>
      <xdr:rowOff>85249</xdr:rowOff>
    </xdr:from>
    <xdr:to>
      <xdr:col>15</xdr:col>
      <xdr:colOff>0</xdr:colOff>
      <xdr:row>34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C184DB-B2DD-4028-3771-5EBAE2017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53342</xdr:colOff>
      <xdr:row>19</xdr:row>
      <xdr:rowOff>107156</xdr:rowOff>
    </xdr:from>
    <xdr:to>
      <xdr:col>6</xdr:col>
      <xdr:colOff>1906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3A134D-58AA-4E66-BD3D-6AAE36891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238125</xdr:colOff>
      <xdr:row>4</xdr:row>
      <xdr:rowOff>75249</xdr:rowOff>
    </xdr:from>
    <xdr:to>
      <xdr:col>15</xdr:col>
      <xdr:colOff>0</xdr:colOff>
      <xdr:row>18</xdr:row>
      <xdr:rowOff>122874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5164CA-0C08-4446-ADAA-3A315BE36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167642</xdr:rowOff>
        </xdr:from>
        <xdr:to>
          <xdr:col>3</xdr:col>
          <xdr:colOff>17145</xdr:colOff>
          <xdr:row>16</xdr:row>
          <xdr:rowOff>53340</xdr:rowOff>
        </xdr:to>
        <xdr:sp macro="" textlink="">
          <xdr:nvSpPr>
            <xdr:cNvPr id="3073" name="List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885825</xdr:colOff>
          <xdr:row>17</xdr:row>
          <xdr:rowOff>9525</xdr:rowOff>
        </xdr:from>
        <xdr:to>
          <xdr:col>3</xdr:col>
          <xdr:colOff>22859</xdr:colOff>
          <xdr:row>19</xdr:row>
          <xdr:rowOff>19050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0.30287</cdr:x>
      <cdr:y>0.41515</cdr:y>
    </cdr:from>
    <cdr:to>
      <cdr:x>0.60727</cdr:x>
      <cdr:y>0.79476</cdr:y>
    </cdr:to>
    <cdr:sp macro="" textlink="Tablas!$F$34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57A7CE6-19CD-8916-5FEE-A3CF966B7A1A}"/>
            </a:ext>
          </a:extLst>
        </cdr:cNvPr>
        <cdr:cNvSpPr txBox="1"/>
      </cdr:nvSpPr>
      <cdr:spPr>
        <a:xfrm xmlns:a="http://schemas.openxmlformats.org/drawingml/2006/main">
          <a:off x="1149188" y="1089004"/>
          <a:ext cx="1154973" cy="9957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F71EE7D-01E3-48CD-A5A8-C40FDE1E9327}" type="TxLink">
            <a:rPr lang="en-US" sz="2800" b="1" i="0" u="none" strike="noStrike" kern="1200">
              <a:solidFill>
                <a:schemeClr val="accent2"/>
              </a:solidFill>
              <a:latin typeface="Calibri"/>
              <a:ea typeface="Calibri"/>
              <a:cs typeface="Calibri"/>
            </a:rPr>
            <a:pPr algn="ctr"/>
            <a:t>11.6%</a:t>
          </a:fld>
          <a:endParaRPr lang="es-DO" sz="1800" b="1" kern="12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0.33781</cdr:x>
      <cdr:y>0.12031</cdr:y>
    </cdr:from>
    <cdr:to>
      <cdr:x>0.59494</cdr:x>
      <cdr:y>0.25394</cdr:y>
    </cdr:to>
    <cdr:sp macro="" textlink="Tablas!$C$2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DE2F80FE-E727-026B-E835-CBD807EA064F}"/>
            </a:ext>
          </a:extLst>
        </cdr:cNvPr>
        <cdr:cNvSpPr txBox="1"/>
      </cdr:nvSpPr>
      <cdr:spPr>
        <a:xfrm xmlns:a="http://schemas.openxmlformats.org/drawingml/2006/main">
          <a:off x="1281735" y="315592"/>
          <a:ext cx="975624" cy="3505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B82BD7E-D70B-43B1-B120-7B886676FEDC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Air Europa</a:t>
          </a:fld>
          <a:endParaRPr lang="es-DO" sz="12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Elvis Lorenzo" refreshedDate="45862.525908217591" createdVersion="8" refreshedVersion="8" minRefreshableVersion="3" recordCount="90" xr:uid="{AEC1C962-92F3-450E-B8E1-E38AE681B159}">
  <cacheSource type="worksheet">
    <worksheetSource name="Table1"/>
  </cacheSource>
  <cacheFields count="4">
    <cacheField name="Aerolínea" numFmtId="0">
      <sharedItems count="6">
        <s v="Iberia"/>
        <s v="Air Europa"/>
        <s v="Ryanair"/>
        <s v="Easyjet"/>
        <s v="Iberojet"/>
        <s v="American Airlines"/>
      </sharedItems>
    </cacheField>
    <cacheField name="Año" numFmtId="0">
      <sharedItems containsSemiMixedTypes="0" containsString="0" containsNumber="1" containsInteger="1" minValue="2001" maxValue="2015" count="15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Gastos combustible" numFmtId="164">
      <sharedItems containsSemiMixedTypes="0" containsString="0" containsNumber="1" containsInteger="1" minValue="103795" maxValue="1015610"/>
    </cacheField>
    <cacheField name="Gastos totales (miles)" numFmtId="164">
      <sharedItems containsSemiMixedTypes="0" containsString="0" containsNumber="1" containsInteger="1" minValue="68978" maxValue="4748320"/>
    </cacheField>
  </cacheFields>
  <extLst>
    <ext xmlns:x14="http://schemas.microsoft.com/office/spreadsheetml/2009/9/main" uri="{725AE2AE-9491-48be-B2B4-4EB974FC3084}">
      <x14:pivotCacheDefinition pivotCacheId="19239322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106650"/>
    <n v="1140640"/>
  </r>
  <r>
    <x v="1"/>
    <x v="0"/>
    <n v="103795"/>
    <n v="569292"/>
  </r>
  <r>
    <x v="2"/>
    <x v="0"/>
    <n v="118788"/>
    <n v="286298"/>
  </r>
  <r>
    <x v="3"/>
    <x v="0"/>
    <n v="114987"/>
    <n v="145167"/>
  </r>
  <r>
    <x v="4"/>
    <x v="0"/>
    <n v="118222"/>
    <n v="91361"/>
  </r>
  <r>
    <x v="5"/>
    <x v="0"/>
    <n v="117112"/>
    <n v="68978"/>
  </r>
  <r>
    <x v="0"/>
    <x v="1"/>
    <n v="110307"/>
    <n v="1215690"/>
  </r>
  <r>
    <x v="1"/>
    <x v="1"/>
    <n v="111477"/>
    <n v="640614"/>
  </r>
  <r>
    <x v="2"/>
    <x v="1"/>
    <n v="123798"/>
    <n v="309290"/>
  </r>
  <r>
    <x v="3"/>
    <x v="1"/>
    <n v="120501"/>
    <n v="170192"/>
  </r>
  <r>
    <x v="4"/>
    <x v="1"/>
    <n v="116223"/>
    <n v="95428"/>
  </r>
  <r>
    <x v="5"/>
    <x v="1"/>
    <n v="119420"/>
    <n v="74904"/>
  </r>
  <r>
    <x v="0"/>
    <x v="2"/>
    <n v="110574"/>
    <n v="1309570"/>
  </r>
  <r>
    <x v="1"/>
    <x v="2"/>
    <n v="118664"/>
    <n v="777655"/>
  </r>
  <r>
    <x v="2"/>
    <x v="2"/>
    <n v="122882"/>
    <n v="342056"/>
  </r>
  <r>
    <x v="3"/>
    <x v="2"/>
    <n v="121908"/>
    <n v="247506"/>
  </r>
  <r>
    <x v="4"/>
    <x v="2"/>
    <n v="115853"/>
    <n v="98187"/>
  </r>
  <r>
    <x v="5"/>
    <x v="2"/>
    <n v="116087"/>
    <n v="83829"/>
  </r>
  <r>
    <x v="0"/>
    <x v="3"/>
    <n v="121974"/>
    <n v="1511530"/>
  </r>
  <r>
    <x v="1"/>
    <x v="3"/>
    <n v="114797"/>
    <n v="999294"/>
  </r>
  <r>
    <x v="2"/>
    <x v="3"/>
    <n v="131274"/>
    <n v="374595"/>
  </r>
  <r>
    <x v="3"/>
    <x v="3"/>
    <n v="127220"/>
    <n v="309391"/>
  </r>
  <r>
    <x v="4"/>
    <x v="3"/>
    <n v="129372"/>
    <n v="115967"/>
  </r>
  <r>
    <x v="5"/>
    <x v="3"/>
    <n v="122997"/>
    <n v="98148"/>
  </r>
  <r>
    <x v="0"/>
    <x v="4"/>
    <n v="196606"/>
    <n v="1676730"/>
  </r>
  <r>
    <x v="1"/>
    <x v="4"/>
    <n v="215322"/>
    <n v="1203970"/>
  </r>
  <r>
    <x v="2"/>
    <x v="4"/>
    <n v="222037"/>
    <n v="450037"/>
  </r>
  <r>
    <x v="3"/>
    <x v="4"/>
    <n v="209405"/>
    <n v="354338"/>
  </r>
  <r>
    <x v="4"/>
    <x v="4"/>
    <n v="243266"/>
    <n v="138382"/>
  </r>
  <r>
    <x v="5"/>
    <x v="4"/>
    <n v="194309"/>
    <n v="118449"/>
  </r>
  <r>
    <x v="0"/>
    <x v="5"/>
    <n v="265609"/>
    <n v="1823740"/>
  </r>
  <r>
    <x v="1"/>
    <x v="5"/>
    <n v="281704"/>
    <n v="1358100"/>
  </r>
  <r>
    <x v="2"/>
    <x v="5"/>
    <n v="278721"/>
    <n v="510412"/>
  </r>
  <r>
    <x v="3"/>
    <x v="5"/>
    <n v="263148"/>
    <n v="373941"/>
  </r>
  <r>
    <x v="4"/>
    <x v="5"/>
    <n v="277930"/>
    <n v="156228"/>
  </r>
  <r>
    <x v="5"/>
    <x v="5"/>
    <n v="307923"/>
    <n v="133161"/>
  </r>
  <r>
    <x v="0"/>
    <x v="6"/>
    <n v="263451"/>
    <n v="2022890"/>
  </r>
  <r>
    <x v="1"/>
    <x v="6"/>
    <n v="304818"/>
    <n v="1501350"/>
  </r>
  <r>
    <x v="2"/>
    <x v="6"/>
    <n v="306564"/>
    <n v="575347"/>
  </r>
  <r>
    <x v="3"/>
    <x v="6"/>
    <n v="316724"/>
    <n v="420915"/>
  </r>
  <r>
    <x v="4"/>
    <x v="6"/>
    <n v="317273"/>
    <n v="183169"/>
  </r>
  <r>
    <x v="5"/>
    <x v="6"/>
    <n v="323595"/>
    <n v="145062"/>
  </r>
  <r>
    <x v="0"/>
    <x v="7"/>
    <n v="316411"/>
    <n v="2314760"/>
  </r>
  <r>
    <x v="1"/>
    <x v="7"/>
    <n v="348609"/>
    <n v="1709270"/>
  </r>
  <r>
    <x v="2"/>
    <x v="7"/>
    <n v="356073"/>
    <n v="669331"/>
  </r>
  <r>
    <x v="3"/>
    <x v="7"/>
    <n v="363598"/>
    <n v="474017"/>
  </r>
  <r>
    <x v="4"/>
    <x v="7"/>
    <n v="358794"/>
    <n v="210212"/>
  </r>
  <r>
    <x v="5"/>
    <x v="7"/>
    <n v="363081"/>
    <n v="170711"/>
  </r>
  <r>
    <x v="0"/>
    <x v="8"/>
    <n v="384110"/>
    <n v="2639160"/>
  </r>
  <r>
    <x v="1"/>
    <x v="8"/>
    <n v="374579"/>
    <n v="2025400"/>
  </r>
  <r>
    <x v="2"/>
    <x v="8"/>
    <n v="378311"/>
    <n v="783799"/>
  </r>
  <r>
    <x v="3"/>
    <x v="8"/>
    <n v="389436"/>
    <n v="532590"/>
  </r>
  <r>
    <x v="4"/>
    <x v="8"/>
    <n v="397667"/>
    <n v="274024"/>
  </r>
  <r>
    <x v="5"/>
    <x v="8"/>
    <n v="386422"/>
    <n v="199775"/>
  </r>
  <r>
    <x v="0"/>
    <x v="9"/>
    <n v="569251"/>
    <n v="3247620"/>
  </r>
  <r>
    <x v="1"/>
    <x v="9"/>
    <n v="544109"/>
    <n v="2548370"/>
  </r>
  <r>
    <x v="2"/>
    <x v="9"/>
    <n v="555267"/>
    <n v="913883"/>
  </r>
  <r>
    <x v="3"/>
    <x v="9"/>
    <n v="547376"/>
    <n v="676771"/>
  </r>
  <r>
    <x v="4"/>
    <x v="9"/>
    <n v="566672"/>
    <n v="356915"/>
  </r>
  <r>
    <x v="5"/>
    <x v="9"/>
    <n v="564867"/>
    <n v="276797"/>
  </r>
  <r>
    <x v="0"/>
    <x v="10"/>
    <n v="871636"/>
    <n v="3787750"/>
  </r>
  <r>
    <x v="1"/>
    <x v="10"/>
    <n v="853356"/>
    <n v="3137740"/>
  </r>
  <r>
    <x v="2"/>
    <x v="10"/>
    <n v="850322"/>
    <n v="1041520"/>
  </r>
  <r>
    <x v="3"/>
    <x v="10"/>
    <n v="850418"/>
    <n v="880438"/>
  </r>
  <r>
    <x v="4"/>
    <x v="10"/>
    <n v="848393"/>
    <n v="432344"/>
  </r>
  <r>
    <x v="5"/>
    <x v="10"/>
    <n v="874818"/>
    <n v="381478"/>
  </r>
  <r>
    <x v="0"/>
    <x v="11"/>
    <n v="997239"/>
    <n v="3867750"/>
  </r>
  <r>
    <x v="1"/>
    <x v="11"/>
    <n v="1003200"/>
    <n v="3557700"/>
  </r>
  <r>
    <x v="2"/>
    <x v="11"/>
    <n v="1015610"/>
    <n v="1125800"/>
  </r>
  <r>
    <x v="3"/>
    <x v="11"/>
    <n v="1011170"/>
    <n v="1052020"/>
  </r>
  <r>
    <x v="4"/>
    <x v="11"/>
    <n v="1005740"/>
    <n v="524294"/>
  </r>
  <r>
    <x v="5"/>
    <x v="11"/>
    <n v="1013170"/>
    <n v="506969"/>
  </r>
  <r>
    <x v="0"/>
    <x v="12"/>
    <n v="938002"/>
    <n v="3996020"/>
  </r>
  <r>
    <x v="1"/>
    <x v="12"/>
    <n v="941977"/>
    <n v="3717740"/>
  </r>
  <r>
    <x v="2"/>
    <x v="12"/>
    <n v="954508"/>
    <n v="1096070"/>
  </r>
  <r>
    <x v="3"/>
    <x v="12"/>
    <n v="951934"/>
    <n v="1193680"/>
  </r>
  <r>
    <x v="4"/>
    <x v="12"/>
    <n v="958231"/>
    <n v="530924"/>
  </r>
  <r>
    <x v="5"/>
    <x v="12"/>
    <n v="930477"/>
    <n v="633388"/>
  </r>
  <r>
    <x v="0"/>
    <x v="13"/>
    <n v="859572"/>
    <n v="4282880"/>
  </r>
  <r>
    <x v="1"/>
    <x v="13"/>
    <n v="856533"/>
    <n v="3962370"/>
  </r>
  <r>
    <x v="2"/>
    <x v="13"/>
    <n v="886999"/>
    <n v="1198930"/>
  </r>
  <r>
    <x v="3"/>
    <x v="13"/>
    <n v="881323"/>
    <n v="1303390"/>
  </r>
  <r>
    <x v="4"/>
    <x v="13"/>
    <n v="872924"/>
    <n v="581447"/>
  </r>
  <r>
    <x v="5"/>
    <x v="13"/>
    <n v="851676"/>
    <n v="804388"/>
  </r>
  <r>
    <x v="0"/>
    <x v="14"/>
    <n v="823411"/>
    <n v="4748320"/>
  </r>
  <r>
    <x v="1"/>
    <x v="14"/>
    <n v="821361"/>
    <n v="4209390"/>
  </r>
  <r>
    <x v="2"/>
    <x v="14"/>
    <n v="844079"/>
    <n v="1170470"/>
  </r>
  <r>
    <x v="3"/>
    <x v="14"/>
    <n v="831374"/>
    <n v="1436970"/>
  </r>
  <r>
    <x v="4"/>
    <x v="14"/>
    <n v="844622"/>
    <n v="610257"/>
  </r>
  <r>
    <x v="5"/>
    <x v="14"/>
    <n v="819476"/>
    <n v="100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AAA9A-7BCA-4EBE-8007-6162524BAA33}" name="TD_AñosvsGasto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" rowHeaderCaption="Años">
  <location ref="P5:R20" firstHeaderRow="0" firstDataRow="1" firstDataCol="1"/>
  <pivotFields count="4">
    <pivotField showAll="0">
      <items count="7">
        <item x="1"/>
        <item x="5"/>
        <item x="3"/>
        <item x="0"/>
        <item x="4"/>
        <item x="2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4" showAll="0"/>
    <pivotField dataField="1" numFmtId="164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Total Gastos combustible " fld="2" baseField="0" baseItem="0" numFmtId="164"/>
    <dataField name="Total Gastos  (miles)" fld="3" baseField="0" baseItem="0" numFmtId="164"/>
  </dataFields>
  <formats count="4">
    <format dxfId="3">
      <pivotArea outline="0" collapsedLevelsAreSubtotals="1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field="1" type="button" dataOnly="0" labelOnly="1" outline="0" axis="axisRow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84D77-E139-4F83-A69A-470F29EFB9DF}" name="TD_GastosCombustib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A8" firstHeaderRow="1" firstDataRow="1" firstDataCol="0"/>
  <pivotFields count="4">
    <pivotField showAll="0">
      <items count="7">
        <item x="1"/>
        <item x="5"/>
        <item x="3"/>
        <item x="0"/>
        <item x="4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4" showAll="0"/>
    <pivotField numFmtId="164" showAll="0"/>
  </pivotFields>
  <rowItems count="1">
    <i/>
  </rowItems>
  <colItems count="1">
    <i/>
  </colItems>
  <dataFields count="1">
    <dataField name="Gastos combustible " fld="2" baseField="0" baseItem="0" numFmtId="164"/>
  </dataFields>
  <formats count="9">
    <format dxfId="12">
      <pivotArea dataOnly="0" outline="0" axis="axisValues" fieldPosition="0"/>
    </format>
    <format dxfId="11">
      <pivotArea dataOnly="0" outline="0" axis="axisValues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E8859-7717-4039-ABE0-1C21CB6E3360}" name="TD_GastosTota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>
      <items count="7">
        <item x="1"/>
        <item x="5"/>
        <item x="3"/>
        <item x="0"/>
        <item x="4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4" showAll="0"/>
    <pivotField dataField="1" numFmtId="164" showAll="0"/>
  </pivotFields>
  <rowItems count="1">
    <i/>
  </rowItems>
  <colItems count="1">
    <i/>
  </colItems>
  <dataFields count="1">
    <dataField name="Gastos totales (miles) " fld="3" baseField="0" baseItem="0" numFmtId="164"/>
  </dataFields>
  <formats count="9">
    <format dxfId="21">
      <pivotArea dataOnly="0" outline="0" axis="axisValues" fieldPosition="0"/>
    </format>
    <format dxfId="20">
      <pivotArea dataOnly="0" outline="0" axis="axisValues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dataOnly="0" outline="0" axis="axisValues" fieldPosition="0"/>
    </format>
    <format dxfId="16">
      <pivotArea dataOnly="0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0BC6D-3D44-4E1F-8E6E-643D6E2E2F7B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Aerolineas">
  <location ref="T13:U19" firstHeaderRow="1" firstDataRow="1" firstDataCol="1"/>
  <pivotFields count="4">
    <pivotField axis="axisRow" showAll="0">
      <items count="7">
        <item x="1"/>
        <item x="5"/>
        <item x="3"/>
        <item x="0"/>
        <item x="4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4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romedio de Gastos combustible" fld="2" subtotal="average" baseField="0" baseItem="0" numFmtId="164"/>
  </dataFields>
  <formats count="3">
    <format dxfId="24">
      <pivotArea outline="0" collapsedLevelsAreSubtotals="1" fieldPosition="0"/>
    </format>
    <format dxfId="23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22">
      <pivotArea dataOnly="0" labelOnly="1" fieldPosition="0">
        <references count="1">
          <reference field="0" count="1">
            <x v="5"/>
          </reference>
        </references>
      </pivotArea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E33E8-0A4E-4121-8AB5-527E492B063A}" name="TablaDiná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" rowHeaderCaption="Aerolineas">
  <location ref="T5:U11" firstHeaderRow="1" firstDataRow="1" firstDataCol="1"/>
  <pivotFields count="4">
    <pivotField axis="axisRow" showAll="0">
      <items count="7">
        <item x="1"/>
        <item x="5"/>
        <item x="3"/>
        <item x="0"/>
        <item x="4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4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Gastos  (miles)" fld="3" baseField="0" baseItem="0" numFmtId="164"/>
  </dataFields>
  <formats count="3">
    <format dxfId="27">
      <pivotArea outline="0" collapsedLevelsAreSubtotals="1" fieldPosition="0"/>
    </format>
    <format dxfId="26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25">
      <pivotArea dataOnly="0" labelOnly="1" fieldPosition="0">
        <references count="1">
          <reference field="0" count="1">
            <x v="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erolínea" xr10:uid="{40A1FC25-2A64-4F04-B25B-8869E75599E6}" sourceName="Aerolínea">
  <pivotTables>
    <pivotTable tabId="3" name="TD_AñosvsGastos"/>
    <pivotTable tabId="3" name="TD_GastosCombustibles"/>
    <pivotTable tabId="3" name="TD_GastosTotales"/>
  </pivotTables>
  <data>
    <tabular pivotCacheId="1923932237">
      <items count="6">
        <i x="1" s="1"/>
        <i x="5" s="1"/>
        <i x="3" s="1"/>
        <i x="0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83B11656-E716-4DBB-AFF5-771C699DE2A2}" sourceName="Año">
  <pivotTables>
    <pivotTable tabId="3" name="TablaDinámica5"/>
    <pivotTable tabId="3" name="TablaDinámica4"/>
    <pivotTable tabId="3" name="TD_GastosCombustibles"/>
    <pivotTable tabId="3" name="TD_GastosTotales"/>
  </pivotTables>
  <data>
    <tabular pivotCacheId="1923932237">
      <items count="1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erolínea" xr10:uid="{90F95E66-F424-4A23-BF60-A3BA054E91C6}" cache="SegmentaciónDeDatos_Aerolínea" caption="Aerolínea" style="SlicerStyleDark1" rowHeight="216000"/>
  <slicer name="Año" xr10:uid="{44DDA921-F639-4D3B-9ED5-94ED42A08373}" cache="SegmentaciónDeDatos_Año" caption="Año" columnCount="15" style="SlicerStyleDark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736D6-2E0A-5346-96FD-9F780ACCF0AB}" name="Table1" displayName="Table1" ref="A1:D91" totalsRowShown="0" headerRowDxfId="33" dataDxfId="32">
  <autoFilter ref="A1:D91" xr:uid="{2C8736D6-2E0A-5346-96FD-9F780ACCF0AB}"/>
  <sortState xmlns:xlrd2="http://schemas.microsoft.com/office/spreadsheetml/2017/richdata2" ref="A2:D91">
    <sortCondition ref="B1:B91"/>
  </sortState>
  <tableColumns count="4">
    <tableColumn id="1" xr3:uid="{337EDCD1-8704-0441-9BFC-1F9380B4C0EF}" name="Aerolínea" dataDxfId="31"/>
    <tableColumn id="2" xr3:uid="{1A24E7BB-974E-6443-82FB-E1BDB90A8054}" name="Año" dataDxfId="30"/>
    <tableColumn id="4" xr3:uid="{C36A6EE5-85DD-6141-A6B3-EBACBE55553E}" name="Gastos combustible" dataDxfId="29"/>
    <tableColumn id="6" xr3:uid="{4F293A70-CBBD-9148-900B-6DE7C1DE28EA}" name="Gastos totales (miles)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Headlines">
  <a:themeElements>
    <a:clrScheme name="Headlines">
      <a:dk1>
        <a:sysClr val="windowText" lastClr="000000"/>
      </a:dk1>
      <a:lt1>
        <a:sysClr val="window" lastClr="FFFFFF"/>
      </a:lt1>
      <a:dk2>
        <a:srgbClr val="1D1A1D"/>
      </a:dk2>
      <a:lt2>
        <a:srgbClr val="F5F5F5"/>
      </a:lt2>
      <a:accent1>
        <a:srgbClr val="439EB7"/>
      </a:accent1>
      <a:accent2>
        <a:srgbClr val="E28B55"/>
      </a:accent2>
      <a:accent3>
        <a:srgbClr val="DCB64D"/>
      </a:accent3>
      <a:accent4>
        <a:srgbClr val="4CA198"/>
      </a:accent4>
      <a:accent5>
        <a:srgbClr val="835B82"/>
      </a:accent5>
      <a:accent6>
        <a:srgbClr val="645135"/>
      </a:accent6>
      <a:hlink>
        <a:srgbClr val="439EB7"/>
      </a:hlink>
      <a:folHlink>
        <a:srgbClr val="835B8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workbookViewId="0">
      <selection activeCell="A15" sqref="A15"/>
    </sheetView>
  </sheetViews>
  <sheetFormatPr baseColWidth="10" defaultColWidth="8.77734375" defaultRowHeight="14.4" x14ac:dyDescent="0.3"/>
  <cols>
    <col min="1" max="1" width="20.44140625" customWidth="1"/>
    <col min="2" max="2" width="12.33203125" customWidth="1"/>
    <col min="3" max="3" width="26.77734375" customWidth="1"/>
    <col min="4" max="4" width="26.44140625" customWidth="1"/>
  </cols>
  <sheetData>
    <row r="1" spans="1:4" x14ac:dyDescent="0.3">
      <c r="A1" s="2" t="s">
        <v>6</v>
      </c>
      <c r="B1" s="2" t="s">
        <v>7</v>
      </c>
      <c r="C1" s="2" t="s">
        <v>8</v>
      </c>
      <c r="D1" s="2" t="s">
        <v>9</v>
      </c>
    </row>
    <row r="2" spans="1:4" x14ac:dyDescent="0.3">
      <c r="A2" t="s">
        <v>0</v>
      </c>
      <c r="B2">
        <v>2001</v>
      </c>
      <c r="C2" s="1">
        <v>106650</v>
      </c>
      <c r="D2" s="1">
        <v>1140640</v>
      </c>
    </row>
    <row r="3" spans="1:4" x14ac:dyDescent="0.3">
      <c r="A3" t="s">
        <v>1</v>
      </c>
      <c r="B3">
        <v>2001</v>
      </c>
      <c r="C3" s="1">
        <v>103795</v>
      </c>
      <c r="D3" s="1">
        <v>569292</v>
      </c>
    </row>
    <row r="4" spans="1:4" x14ac:dyDescent="0.3">
      <c r="A4" t="s">
        <v>2</v>
      </c>
      <c r="B4">
        <v>2001</v>
      </c>
      <c r="C4" s="1">
        <v>118788</v>
      </c>
      <c r="D4" s="1">
        <v>286298</v>
      </c>
    </row>
    <row r="5" spans="1:4" x14ac:dyDescent="0.3">
      <c r="A5" t="s">
        <v>3</v>
      </c>
      <c r="B5">
        <v>2001</v>
      </c>
      <c r="C5" s="1">
        <v>114987</v>
      </c>
      <c r="D5" s="1">
        <v>145167</v>
      </c>
    </row>
    <row r="6" spans="1:4" x14ac:dyDescent="0.3">
      <c r="A6" t="s">
        <v>4</v>
      </c>
      <c r="B6">
        <v>2001</v>
      </c>
      <c r="C6" s="1">
        <v>118222</v>
      </c>
      <c r="D6" s="1">
        <v>91361</v>
      </c>
    </row>
    <row r="7" spans="1:4" x14ac:dyDescent="0.3">
      <c r="A7" t="s">
        <v>5</v>
      </c>
      <c r="B7">
        <v>2001</v>
      </c>
      <c r="C7" s="1">
        <v>117112</v>
      </c>
      <c r="D7" s="1">
        <v>68978</v>
      </c>
    </row>
    <row r="8" spans="1:4" x14ac:dyDescent="0.3">
      <c r="A8" t="s">
        <v>0</v>
      </c>
      <c r="B8">
        <v>2002</v>
      </c>
      <c r="C8" s="1">
        <v>110307</v>
      </c>
      <c r="D8" s="1">
        <v>1215690</v>
      </c>
    </row>
    <row r="9" spans="1:4" x14ac:dyDescent="0.3">
      <c r="A9" t="s">
        <v>1</v>
      </c>
      <c r="B9">
        <v>2002</v>
      </c>
      <c r="C9" s="1">
        <v>111477</v>
      </c>
      <c r="D9" s="1">
        <v>640614</v>
      </c>
    </row>
    <row r="10" spans="1:4" x14ac:dyDescent="0.3">
      <c r="A10" t="s">
        <v>2</v>
      </c>
      <c r="B10">
        <v>2002</v>
      </c>
      <c r="C10" s="1">
        <v>123798</v>
      </c>
      <c r="D10" s="1">
        <v>309290</v>
      </c>
    </row>
    <row r="11" spans="1:4" x14ac:dyDescent="0.3">
      <c r="A11" t="s">
        <v>3</v>
      </c>
      <c r="B11">
        <v>2002</v>
      </c>
      <c r="C11" s="1">
        <v>120501</v>
      </c>
      <c r="D11" s="1">
        <v>170192</v>
      </c>
    </row>
    <row r="12" spans="1:4" x14ac:dyDescent="0.3">
      <c r="A12" t="s">
        <v>4</v>
      </c>
      <c r="B12">
        <v>2002</v>
      </c>
      <c r="C12" s="1">
        <v>116223</v>
      </c>
      <c r="D12" s="1">
        <v>95428</v>
      </c>
    </row>
    <row r="13" spans="1:4" x14ac:dyDescent="0.3">
      <c r="A13" t="s">
        <v>5</v>
      </c>
      <c r="B13">
        <v>2002</v>
      </c>
      <c r="C13" s="1">
        <v>119420</v>
      </c>
      <c r="D13" s="1">
        <v>74904</v>
      </c>
    </row>
    <row r="14" spans="1:4" x14ac:dyDescent="0.3">
      <c r="A14" t="s">
        <v>0</v>
      </c>
      <c r="B14">
        <v>2003</v>
      </c>
      <c r="C14" s="1">
        <v>110574</v>
      </c>
      <c r="D14" s="1">
        <v>1309570</v>
      </c>
    </row>
    <row r="15" spans="1:4" x14ac:dyDescent="0.3">
      <c r="A15" t="s">
        <v>1</v>
      </c>
      <c r="B15">
        <v>2003</v>
      </c>
      <c r="C15" s="1">
        <v>118664</v>
      </c>
      <c r="D15" s="1">
        <v>777655</v>
      </c>
    </row>
    <row r="16" spans="1:4" x14ac:dyDescent="0.3">
      <c r="A16" t="s">
        <v>2</v>
      </c>
      <c r="B16">
        <v>2003</v>
      </c>
      <c r="C16" s="1">
        <v>122882</v>
      </c>
      <c r="D16" s="1">
        <v>342056</v>
      </c>
    </row>
    <row r="17" spans="1:4" x14ac:dyDescent="0.3">
      <c r="A17" t="s">
        <v>3</v>
      </c>
      <c r="B17">
        <v>2003</v>
      </c>
      <c r="C17" s="1">
        <v>121908</v>
      </c>
      <c r="D17" s="1">
        <v>247506</v>
      </c>
    </row>
    <row r="18" spans="1:4" x14ac:dyDescent="0.3">
      <c r="A18" t="s">
        <v>4</v>
      </c>
      <c r="B18">
        <v>2003</v>
      </c>
      <c r="C18" s="1">
        <v>115853</v>
      </c>
      <c r="D18" s="1">
        <v>98187</v>
      </c>
    </row>
    <row r="19" spans="1:4" x14ac:dyDescent="0.3">
      <c r="A19" t="s">
        <v>5</v>
      </c>
      <c r="B19">
        <v>2003</v>
      </c>
      <c r="C19" s="1">
        <v>116087</v>
      </c>
      <c r="D19" s="1">
        <v>83829</v>
      </c>
    </row>
    <row r="20" spans="1:4" x14ac:dyDescent="0.3">
      <c r="A20" t="s">
        <v>0</v>
      </c>
      <c r="B20">
        <v>2004</v>
      </c>
      <c r="C20" s="1">
        <v>121974</v>
      </c>
      <c r="D20" s="1">
        <v>1511530</v>
      </c>
    </row>
    <row r="21" spans="1:4" x14ac:dyDescent="0.3">
      <c r="A21" t="s">
        <v>1</v>
      </c>
      <c r="B21">
        <v>2004</v>
      </c>
      <c r="C21" s="1">
        <v>114797</v>
      </c>
      <c r="D21" s="1">
        <v>999294</v>
      </c>
    </row>
    <row r="22" spans="1:4" x14ac:dyDescent="0.3">
      <c r="A22" t="s">
        <v>2</v>
      </c>
      <c r="B22">
        <v>2004</v>
      </c>
      <c r="C22" s="1">
        <v>131274</v>
      </c>
      <c r="D22" s="1">
        <v>374595</v>
      </c>
    </row>
    <row r="23" spans="1:4" x14ac:dyDescent="0.3">
      <c r="A23" t="s">
        <v>3</v>
      </c>
      <c r="B23">
        <v>2004</v>
      </c>
      <c r="C23" s="1">
        <v>127220</v>
      </c>
      <c r="D23" s="1">
        <v>309391</v>
      </c>
    </row>
    <row r="24" spans="1:4" x14ac:dyDescent="0.3">
      <c r="A24" t="s">
        <v>4</v>
      </c>
      <c r="B24">
        <v>2004</v>
      </c>
      <c r="C24" s="1">
        <v>129372</v>
      </c>
      <c r="D24" s="1">
        <v>115967</v>
      </c>
    </row>
    <row r="25" spans="1:4" x14ac:dyDescent="0.3">
      <c r="A25" t="s">
        <v>5</v>
      </c>
      <c r="B25">
        <v>2004</v>
      </c>
      <c r="C25" s="1">
        <v>122997</v>
      </c>
      <c r="D25" s="1">
        <v>98148</v>
      </c>
    </row>
    <row r="26" spans="1:4" x14ac:dyDescent="0.3">
      <c r="A26" t="s">
        <v>0</v>
      </c>
      <c r="B26">
        <v>2005</v>
      </c>
      <c r="C26" s="1">
        <v>196606</v>
      </c>
      <c r="D26" s="1">
        <v>1676730</v>
      </c>
    </row>
    <row r="27" spans="1:4" x14ac:dyDescent="0.3">
      <c r="A27" t="s">
        <v>1</v>
      </c>
      <c r="B27">
        <v>2005</v>
      </c>
      <c r="C27" s="1">
        <v>215322</v>
      </c>
      <c r="D27" s="1">
        <v>1203970</v>
      </c>
    </row>
    <row r="28" spans="1:4" x14ac:dyDescent="0.3">
      <c r="A28" t="s">
        <v>2</v>
      </c>
      <c r="B28">
        <v>2005</v>
      </c>
      <c r="C28" s="1">
        <v>222037</v>
      </c>
      <c r="D28" s="1">
        <v>450037</v>
      </c>
    </row>
    <row r="29" spans="1:4" x14ac:dyDescent="0.3">
      <c r="A29" t="s">
        <v>3</v>
      </c>
      <c r="B29">
        <v>2005</v>
      </c>
      <c r="C29" s="1">
        <v>209405</v>
      </c>
      <c r="D29" s="1">
        <v>354338</v>
      </c>
    </row>
    <row r="30" spans="1:4" x14ac:dyDescent="0.3">
      <c r="A30" t="s">
        <v>4</v>
      </c>
      <c r="B30">
        <v>2005</v>
      </c>
      <c r="C30" s="1">
        <v>243266</v>
      </c>
      <c r="D30" s="1">
        <v>138382</v>
      </c>
    </row>
    <row r="31" spans="1:4" x14ac:dyDescent="0.3">
      <c r="A31" t="s">
        <v>5</v>
      </c>
      <c r="B31">
        <v>2005</v>
      </c>
      <c r="C31" s="1">
        <v>194309</v>
      </c>
      <c r="D31" s="1">
        <v>118449</v>
      </c>
    </row>
    <row r="32" spans="1:4" x14ac:dyDescent="0.3">
      <c r="A32" t="s">
        <v>0</v>
      </c>
      <c r="B32">
        <v>2006</v>
      </c>
      <c r="C32" s="1">
        <v>265609</v>
      </c>
      <c r="D32" s="1">
        <v>1823740</v>
      </c>
    </row>
    <row r="33" spans="1:4" x14ac:dyDescent="0.3">
      <c r="A33" t="s">
        <v>1</v>
      </c>
      <c r="B33">
        <v>2006</v>
      </c>
      <c r="C33" s="1">
        <v>281704</v>
      </c>
      <c r="D33" s="1">
        <v>1358100</v>
      </c>
    </row>
    <row r="34" spans="1:4" x14ac:dyDescent="0.3">
      <c r="A34" t="s">
        <v>2</v>
      </c>
      <c r="B34">
        <v>2006</v>
      </c>
      <c r="C34" s="1">
        <v>278721</v>
      </c>
      <c r="D34" s="1">
        <v>510412</v>
      </c>
    </row>
    <row r="35" spans="1:4" x14ac:dyDescent="0.3">
      <c r="A35" t="s">
        <v>3</v>
      </c>
      <c r="B35">
        <v>2006</v>
      </c>
      <c r="C35" s="1">
        <v>263148</v>
      </c>
      <c r="D35" s="1">
        <v>373941</v>
      </c>
    </row>
    <row r="36" spans="1:4" x14ac:dyDescent="0.3">
      <c r="A36" t="s">
        <v>4</v>
      </c>
      <c r="B36">
        <v>2006</v>
      </c>
      <c r="C36" s="1">
        <v>277930</v>
      </c>
      <c r="D36" s="1">
        <v>156228</v>
      </c>
    </row>
    <row r="37" spans="1:4" x14ac:dyDescent="0.3">
      <c r="A37" t="s">
        <v>5</v>
      </c>
      <c r="B37">
        <v>2006</v>
      </c>
      <c r="C37" s="1">
        <v>307923</v>
      </c>
      <c r="D37" s="1">
        <v>133161</v>
      </c>
    </row>
    <row r="38" spans="1:4" x14ac:dyDescent="0.3">
      <c r="A38" t="s">
        <v>0</v>
      </c>
      <c r="B38">
        <v>2007</v>
      </c>
      <c r="C38" s="1">
        <v>263451</v>
      </c>
      <c r="D38" s="1">
        <v>2022890</v>
      </c>
    </row>
    <row r="39" spans="1:4" x14ac:dyDescent="0.3">
      <c r="A39" t="s">
        <v>1</v>
      </c>
      <c r="B39">
        <v>2007</v>
      </c>
      <c r="C39" s="1">
        <v>304818</v>
      </c>
      <c r="D39" s="1">
        <v>1501350</v>
      </c>
    </row>
    <row r="40" spans="1:4" x14ac:dyDescent="0.3">
      <c r="A40" t="s">
        <v>2</v>
      </c>
      <c r="B40">
        <v>2007</v>
      </c>
      <c r="C40" s="1">
        <v>306564</v>
      </c>
      <c r="D40" s="1">
        <v>575347</v>
      </c>
    </row>
    <row r="41" spans="1:4" x14ac:dyDescent="0.3">
      <c r="A41" t="s">
        <v>3</v>
      </c>
      <c r="B41">
        <v>2007</v>
      </c>
      <c r="C41" s="1">
        <v>316724</v>
      </c>
      <c r="D41" s="1">
        <v>420915</v>
      </c>
    </row>
    <row r="42" spans="1:4" x14ac:dyDescent="0.3">
      <c r="A42" t="s">
        <v>4</v>
      </c>
      <c r="B42">
        <v>2007</v>
      </c>
      <c r="C42" s="1">
        <v>317273</v>
      </c>
      <c r="D42" s="1">
        <v>183169</v>
      </c>
    </row>
    <row r="43" spans="1:4" x14ac:dyDescent="0.3">
      <c r="A43" t="s">
        <v>5</v>
      </c>
      <c r="B43">
        <v>2007</v>
      </c>
      <c r="C43" s="1">
        <v>323595</v>
      </c>
      <c r="D43" s="1">
        <v>145062</v>
      </c>
    </row>
    <row r="44" spans="1:4" x14ac:dyDescent="0.3">
      <c r="A44" t="s">
        <v>0</v>
      </c>
      <c r="B44">
        <v>2008</v>
      </c>
      <c r="C44" s="1">
        <v>316411</v>
      </c>
      <c r="D44" s="1">
        <v>2314760</v>
      </c>
    </row>
    <row r="45" spans="1:4" x14ac:dyDescent="0.3">
      <c r="A45" t="s">
        <v>1</v>
      </c>
      <c r="B45">
        <v>2008</v>
      </c>
      <c r="C45" s="1">
        <v>348609</v>
      </c>
      <c r="D45" s="1">
        <v>1709270</v>
      </c>
    </row>
    <row r="46" spans="1:4" x14ac:dyDescent="0.3">
      <c r="A46" t="s">
        <v>2</v>
      </c>
      <c r="B46">
        <v>2008</v>
      </c>
      <c r="C46" s="1">
        <v>356073</v>
      </c>
      <c r="D46" s="1">
        <v>669331</v>
      </c>
    </row>
    <row r="47" spans="1:4" x14ac:dyDescent="0.3">
      <c r="A47" t="s">
        <v>3</v>
      </c>
      <c r="B47">
        <v>2008</v>
      </c>
      <c r="C47" s="1">
        <v>363598</v>
      </c>
      <c r="D47" s="1">
        <v>474017</v>
      </c>
    </row>
    <row r="48" spans="1:4" x14ac:dyDescent="0.3">
      <c r="A48" t="s">
        <v>4</v>
      </c>
      <c r="B48">
        <v>2008</v>
      </c>
      <c r="C48" s="1">
        <v>358794</v>
      </c>
      <c r="D48" s="1">
        <v>210212</v>
      </c>
    </row>
    <row r="49" spans="1:4" x14ac:dyDescent="0.3">
      <c r="A49" t="s">
        <v>5</v>
      </c>
      <c r="B49">
        <v>2008</v>
      </c>
      <c r="C49" s="1">
        <v>363081</v>
      </c>
      <c r="D49" s="1">
        <v>170711</v>
      </c>
    </row>
    <row r="50" spans="1:4" x14ac:dyDescent="0.3">
      <c r="A50" t="s">
        <v>0</v>
      </c>
      <c r="B50">
        <v>2009</v>
      </c>
      <c r="C50" s="1">
        <v>384110</v>
      </c>
      <c r="D50" s="1">
        <v>2639160</v>
      </c>
    </row>
    <row r="51" spans="1:4" x14ac:dyDescent="0.3">
      <c r="A51" t="s">
        <v>1</v>
      </c>
      <c r="B51">
        <v>2009</v>
      </c>
      <c r="C51" s="1">
        <v>374579</v>
      </c>
      <c r="D51" s="1">
        <v>2025400</v>
      </c>
    </row>
    <row r="52" spans="1:4" x14ac:dyDescent="0.3">
      <c r="A52" t="s">
        <v>2</v>
      </c>
      <c r="B52">
        <v>2009</v>
      </c>
      <c r="C52" s="1">
        <v>378311</v>
      </c>
      <c r="D52" s="1">
        <v>783799</v>
      </c>
    </row>
    <row r="53" spans="1:4" x14ac:dyDescent="0.3">
      <c r="A53" t="s">
        <v>3</v>
      </c>
      <c r="B53">
        <v>2009</v>
      </c>
      <c r="C53" s="1">
        <v>389436</v>
      </c>
      <c r="D53" s="1">
        <v>532590</v>
      </c>
    </row>
    <row r="54" spans="1:4" x14ac:dyDescent="0.3">
      <c r="A54" t="s">
        <v>4</v>
      </c>
      <c r="B54">
        <v>2009</v>
      </c>
      <c r="C54" s="1">
        <v>397667</v>
      </c>
      <c r="D54" s="1">
        <v>274024</v>
      </c>
    </row>
    <row r="55" spans="1:4" x14ac:dyDescent="0.3">
      <c r="A55" t="s">
        <v>5</v>
      </c>
      <c r="B55">
        <v>2009</v>
      </c>
      <c r="C55" s="1">
        <v>386422</v>
      </c>
      <c r="D55" s="1">
        <v>199775</v>
      </c>
    </row>
    <row r="56" spans="1:4" x14ac:dyDescent="0.3">
      <c r="A56" t="s">
        <v>0</v>
      </c>
      <c r="B56">
        <v>2010</v>
      </c>
      <c r="C56" s="1">
        <v>569251</v>
      </c>
      <c r="D56" s="1">
        <v>3247620</v>
      </c>
    </row>
    <row r="57" spans="1:4" x14ac:dyDescent="0.3">
      <c r="A57" t="s">
        <v>1</v>
      </c>
      <c r="B57">
        <v>2010</v>
      </c>
      <c r="C57" s="1">
        <v>544109</v>
      </c>
      <c r="D57" s="1">
        <v>2548370</v>
      </c>
    </row>
    <row r="58" spans="1:4" x14ac:dyDescent="0.3">
      <c r="A58" t="s">
        <v>2</v>
      </c>
      <c r="B58">
        <v>2010</v>
      </c>
      <c r="C58" s="1">
        <v>555267</v>
      </c>
      <c r="D58" s="1">
        <v>913883</v>
      </c>
    </row>
    <row r="59" spans="1:4" x14ac:dyDescent="0.3">
      <c r="A59" t="s">
        <v>3</v>
      </c>
      <c r="B59">
        <v>2010</v>
      </c>
      <c r="C59" s="1">
        <v>547376</v>
      </c>
      <c r="D59" s="1">
        <v>676771</v>
      </c>
    </row>
    <row r="60" spans="1:4" x14ac:dyDescent="0.3">
      <c r="A60" t="s">
        <v>4</v>
      </c>
      <c r="B60">
        <v>2010</v>
      </c>
      <c r="C60" s="1">
        <v>566672</v>
      </c>
      <c r="D60" s="1">
        <v>356915</v>
      </c>
    </row>
    <row r="61" spans="1:4" x14ac:dyDescent="0.3">
      <c r="A61" t="s">
        <v>5</v>
      </c>
      <c r="B61">
        <v>2010</v>
      </c>
      <c r="C61" s="1">
        <v>564867</v>
      </c>
      <c r="D61" s="1">
        <v>276797</v>
      </c>
    </row>
    <row r="62" spans="1:4" x14ac:dyDescent="0.3">
      <c r="A62" t="s">
        <v>0</v>
      </c>
      <c r="B62">
        <v>2011</v>
      </c>
      <c r="C62" s="1">
        <v>871636</v>
      </c>
      <c r="D62" s="1">
        <v>3787750</v>
      </c>
    </row>
    <row r="63" spans="1:4" x14ac:dyDescent="0.3">
      <c r="A63" t="s">
        <v>1</v>
      </c>
      <c r="B63">
        <v>2011</v>
      </c>
      <c r="C63" s="1">
        <v>853356</v>
      </c>
      <c r="D63" s="1">
        <v>3137740</v>
      </c>
    </row>
    <row r="64" spans="1:4" x14ac:dyDescent="0.3">
      <c r="A64" t="s">
        <v>2</v>
      </c>
      <c r="B64">
        <v>2011</v>
      </c>
      <c r="C64" s="1">
        <v>850322</v>
      </c>
      <c r="D64" s="1">
        <v>1041520</v>
      </c>
    </row>
    <row r="65" spans="1:4" x14ac:dyDescent="0.3">
      <c r="A65" t="s">
        <v>3</v>
      </c>
      <c r="B65">
        <v>2011</v>
      </c>
      <c r="C65" s="1">
        <v>850418</v>
      </c>
      <c r="D65" s="1">
        <v>880438</v>
      </c>
    </row>
    <row r="66" spans="1:4" x14ac:dyDescent="0.3">
      <c r="A66" t="s">
        <v>4</v>
      </c>
      <c r="B66">
        <v>2011</v>
      </c>
      <c r="C66" s="1">
        <v>848393</v>
      </c>
      <c r="D66" s="1">
        <v>432344</v>
      </c>
    </row>
    <row r="67" spans="1:4" x14ac:dyDescent="0.3">
      <c r="A67" t="s">
        <v>5</v>
      </c>
      <c r="B67">
        <v>2011</v>
      </c>
      <c r="C67" s="1">
        <v>874818</v>
      </c>
      <c r="D67" s="1">
        <v>381478</v>
      </c>
    </row>
    <row r="68" spans="1:4" x14ac:dyDescent="0.3">
      <c r="A68" t="s">
        <v>0</v>
      </c>
      <c r="B68">
        <v>2012</v>
      </c>
      <c r="C68" s="1">
        <v>997239</v>
      </c>
      <c r="D68" s="1">
        <v>3867750</v>
      </c>
    </row>
    <row r="69" spans="1:4" x14ac:dyDescent="0.3">
      <c r="A69" t="s">
        <v>1</v>
      </c>
      <c r="B69">
        <v>2012</v>
      </c>
      <c r="C69" s="1">
        <v>1003200</v>
      </c>
      <c r="D69" s="1">
        <v>3557700</v>
      </c>
    </row>
    <row r="70" spans="1:4" x14ac:dyDescent="0.3">
      <c r="A70" t="s">
        <v>2</v>
      </c>
      <c r="B70">
        <v>2012</v>
      </c>
      <c r="C70" s="1">
        <v>1015610</v>
      </c>
      <c r="D70" s="1">
        <v>1125800</v>
      </c>
    </row>
    <row r="71" spans="1:4" x14ac:dyDescent="0.3">
      <c r="A71" t="s">
        <v>3</v>
      </c>
      <c r="B71">
        <v>2012</v>
      </c>
      <c r="C71" s="1">
        <v>1011170</v>
      </c>
      <c r="D71" s="1">
        <v>1052020</v>
      </c>
    </row>
    <row r="72" spans="1:4" x14ac:dyDescent="0.3">
      <c r="A72" t="s">
        <v>4</v>
      </c>
      <c r="B72">
        <v>2012</v>
      </c>
      <c r="C72" s="1">
        <v>1005740</v>
      </c>
      <c r="D72" s="1">
        <v>524294</v>
      </c>
    </row>
    <row r="73" spans="1:4" x14ac:dyDescent="0.3">
      <c r="A73" t="s">
        <v>5</v>
      </c>
      <c r="B73">
        <v>2012</v>
      </c>
      <c r="C73" s="1">
        <v>1013170</v>
      </c>
      <c r="D73" s="1">
        <v>506969</v>
      </c>
    </row>
    <row r="74" spans="1:4" x14ac:dyDescent="0.3">
      <c r="A74" t="s">
        <v>0</v>
      </c>
      <c r="B74">
        <v>2013</v>
      </c>
      <c r="C74" s="1">
        <v>938002</v>
      </c>
      <c r="D74" s="1">
        <v>3996020</v>
      </c>
    </row>
    <row r="75" spans="1:4" x14ac:dyDescent="0.3">
      <c r="A75" t="s">
        <v>1</v>
      </c>
      <c r="B75">
        <v>2013</v>
      </c>
      <c r="C75" s="1">
        <v>941977</v>
      </c>
      <c r="D75" s="1">
        <v>3717740</v>
      </c>
    </row>
    <row r="76" spans="1:4" x14ac:dyDescent="0.3">
      <c r="A76" t="s">
        <v>2</v>
      </c>
      <c r="B76">
        <v>2013</v>
      </c>
      <c r="C76" s="1">
        <v>954508</v>
      </c>
      <c r="D76" s="1">
        <v>1096070</v>
      </c>
    </row>
    <row r="77" spans="1:4" x14ac:dyDescent="0.3">
      <c r="A77" t="s">
        <v>3</v>
      </c>
      <c r="B77">
        <v>2013</v>
      </c>
      <c r="C77" s="1">
        <v>951934</v>
      </c>
      <c r="D77" s="1">
        <v>1193680</v>
      </c>
    </row>
    <row r="78" spans="1:4" x14ac:dyDescent="0.3">
      <c r="A78" t="s">
        <v>4</v>
      </c>
      <c r="B78">
        <v>2013</v>
      </c>
      <c r="C78" s="1">
        <v>958231</v>
      </c>
      <c r="D78" s="1">
        <v>530924</v>
      </c>
    </row>
    <row r="79" spans="1:4" x14ac:dyDescent="0.3">
      <c r="A79" t="s">
        <v>5</v>
      </c>
      <c r="B79">
        <v>2013</v>
      </c>
      <c r="C79" s="1">
        <v>930477</v>
      </c>
      <c r="D79" s="1">
        <v>633388</v>
      </c>
    </row>
    <row r="80" spans="1:4" x14ac:dyDescent="0.3">
      <c r="A80" t="s">
        <v>0</v>
      </c>
      <c r="B80">
        <v>2014</v>
      </c>
      <c r="C80" s="1">
        <v>859572</v>
      </c>
      <c r="D80" s="1">
        <v>4282880</v>
      </c>
    </row>
    <row r="81" spans="1:4" x14ac:dyDescent="0.3">
      <c r="A81" t="s">
        <v>1</v>
      </c>
      <c r="B81">
        <v>2014</v>
      </c>
      <c r="C81" s="1">
        <v>856533</v>
      </c>
      <c r="D81" s="1">
        <v>3962370</v>
      </c>
    </row>
    <row r="82" spans="1:4" x14ac:dyDescent="0.3">
      <c r="A82" t="s">
        <v>2</v>
      </c>
      <c r="B82">
        <v>2014</v>
      </c>
      <c r="C82" s="1">
        <v>886999</v>
      </c>
      <c r="D82" s="1">
        <v>1198930</v>
      </c>
    </row>
    <row r="83" spans="1:4" x14ac:dyDescent="0.3">
      <c r="A83" t="s">
        <v>3</v>
      </c>
      <c r="B83">
        <v>2014</v>
      </c>
      <c r="C83" s="1">
        <v>881323</v>
      </c>
      <c r="D83" s="1">
        <v>1303390</v>
      </c>
    </row>
    <row r="84" spans="1:4" x14ac:dyDescent="0.3">
      <c r="A84" t="s">
        <v>4</v>
      </c>
      <c r="B84">
        <v>2014</v>
      </c>
      <c r="C84" s="1">
        <v>872924</v>
      </c>
      <c r="D84" s="1">
        <v>581447</v>
      </c>
    </row>
    <row r="85" spans="1:4" x14ac:dyDescent="0.3">
      <c r="A85" t="s">
        <v>5</v>
      </c>
      <c r="B85">
        <v>2014</v>
      </c>
      <c r="C85" s="1">
        <v>851676</v>
      </c>
      <c r="D85" s="1">
        <v>804388</v>
      </c>
    </row>
    <row r="86" spans="1:4" x14ac:dyDescent="0.3">
      <c r="A86" t="s">
        <v>0</v>
      </c>
      <c r="B86">
        <v>2015</v>
      </c>
      <c r="C86" s="1">
        <v>823411</v>
      </c>
      <c r="D86" s="1">
        <v>4748320</v>
      </c>
    </row>
    <row r="87" spans="1:4" x14ac:dyDescent="0.3">
      <c r="A87" t="s">
        <v>1</v>
      </c>
      <c r="B87">
        <v>2015</v>
      </c>
      <c r="C87" s="1">
        <v>821361</v>
      </c>
      <c r="D87" s="1">
        <v>4209390</v>
      </c>
    </row>
    <row r="88" spans="1:4" x14ac:dyDescent="0.3">
      <c r="A88" t="s">
        <v>2</v>
      </c>
      <c r="B88">
        <v>2015</v>
      </c>
      <c r="C88" s="1">
        <v>844079</v>
      </c>
      <c r="D88" s="1">
        <v>1170470</v>
      </c>
    </row>
    <row r="89" spans="1:4" x14ac:dyDescent="0.3">
      <c r="A89" t="s">
        <v>3</v>
      </c>
      <c r="B89">
        <v>2015</v>
      </c>
      <c r="C89" s="1">
        <v>831374</v>
      </c>
      <c r="D89" s="1">
        <v>1436970</v>
      </c>
    </row>
    <row r="90" spans="1:4" x14ac:dyDescent="0.3">
      <c r="A90" t="s">
        <v>4</v>
      </c>
      <c r="B90">
        <v>2015</v>
      </c>
      <c r="C90" s="1">
        <v>844622</v>
      </c>
      <c r="D90" s="1">
        <v>610257</v>
      </c>
    </row>
    <row r="91" spans="1:4" x14ac:dyDescent="0.3">
      <c r="A91" t="s">
        <v>5</v>
      </c>
      <c r="B91">
        <v>2015</v>
      </c>
      <c r="C91" s="1">
        <v>819476</v>
      </c>
      <c r="D91" s="1">
        <v>1009500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13E4-4CC1-F646-A34A-7C750F6144CB}">
  <dimension ref="A1:U22"/>
  <sheetViews>
    <sheetView showGridLines="0" zoomScale="85" zoomScaleNormal="85" workbookViewId="0">
      <selection activeCell="O26" sqref="O26"/>
    </sheetView>
  </sheetViews>
  <sheetFormatPr baseColWidth="10" defaultRowHeight="14.4" x14ac:dyDescent="0.3"/>
  <cols>
    <col min="1" max="1" width="25.77734375" bestFit="1" customWidth="1"/>
    <col min="2" max="2" width="26.33203125" bestFit="1" customWidth="1"/>
    <col min="15" max="15" width="53.77734375" customWidth="1"/>
    <col min="16" max="16" width="8.44140625" bestFit="1" customWidth="1"/>
    <col min="17" max="17" width="24.77734375" bestFit="1" customWidth="1"/>
    <col min="18" max="18" width="19.5546875" bestFit="1" customWidth="1"/>
    <col min="19" max="19" width="17.109375" bestFit="1" customWidth="1"/>
    <col min="20" max="20" width="20.88671875" bestFit="1" customWidth="1"/>
    <col min="21" max="21" width="19.5546875" bestFit="1" customWidth="1"/>
    <col min="22" max="22" width="28.5546875" bestFit="1" customWidth="1"/>
  </cols>
  <sheetData>
    <row r="1" spans="1:2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1" ht="25.8" x14ac:dyDescent="0.5">
      <c r="A2" s="3"/>
      <c r="B2" s="3"/>
      <c r="C2" s="3"/>
      <c r="D2" s="3"/>
      <c r="E2" s="8" t="s">
        <v>19</v>
      </c>
      <c r="F2" s="4"/>
      <c r="G2" s="4"/>
      <c r="H2" s="4"/>
      <c r="I2" s="4"/>
      <c r="J2" s="3"/>
      <c r="K2" s="3"/>
      <c r="L2" s="3"/>
      <c r="M2" s="3"/>
      <c r="N2" s="3"/>
    </row>
    <row r="3" spans="1:2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21" ht="18" x14ac:dyDescent="0.35">
      <c r="A5" s="11" t="s">
        <v>20</v>
      </c>
      <c r="P5" s="6" t="s">
        <v>24</v>
      </c>
      <c r="Q5" t="s">
        <v>22</v>
      </c>
      <c r="R5" t="s">
        <v>23</v>
      </c>
      <c r="T5" s="6" t="s">
        <v>25</v>
      </c>
      <c r="U5" t="s">
        <v>23</v>
      </c>
    </row>
    <row r="6" spans="1:21" ht="18" x14ac:dyDescent="0.35">
      <c r="A6" s="10">
        <v>101027145</v>
      </c>
      <c r="P6" s="7">
        <v>2001</v>
      </c>
      <c r="Q6" s="5">
        <v>679554</v>
      </c>
      <c r="R6" s="5">
        <v>2301736</v>
      </c>
      <c r="T6" s="7" t="s">
        <v>1</v>
      </c>
      <c r="U6" s="5">
        <v>31918255</v>
      </c>
    </row>
    <row r="7" spans="1:21" ht="18" x14ac:dyDescent="0.35">
      <c r="A7" s="9" t="s">
        <v>21</v>
      </c>
      <c r="P7" s="7">
        <v>2002</v>
      </c>
      <c r="Q7" s="5">
        <v>701726</v>
      </c>
      <c r="R7" s="5">
        <v>2506118</v>
      </c>
      <c r="T7" s="7" t="s">
        <v>5</v>
      </c>
      <c r="U7" s="5">
        <v>4705537</v>
      </c>
    </row>
    <row r="8" spans="1:21" ht="18" x14ac:dyDescent="0.35">
      <c r="A8" s="10">
        <v>42451471</v>
      </c>
      <c r="P8" s="7">
        <v>2003</v>
      </c>
      <c r="Q8" s="5">
        <v>705968</v>
      </c>
      <c r="R8" s="5">
        <v>2858803</v>
      </c>
      <c r="T8" s="7" t="s">
        <v>3</v>
      </c>
      <c r="U8" s="5">
        <v>9571326</v>
      </c>
    </row>
    <row r="9" spans="1:21" ht="18" x14ac:dyDescent="0.35">
      <c r="P9" s="7">
        <v>2004</v>
      </c>
      <c r="Q9" s="5">
        <v>747634</v>
      </c>
      <c r="R9" s="5">
        <v>3408925</v>
      </c>
      <c r="T9" s="7" t="s">
        <v>0</v>
      </c>
      <c r="U9" s="5">
        <v>39585050</v>
      </c>
    </row>
    <row r="10" spans="1:21" ht="18" x14ac:dyDescent="0.35">
      <c r="P10" s="7">
        <v>2005</v>
      </c>
      <c r="Q10" s="5">
        <v>1280945</v>
      </c>
      <c r="R10" s="5">
        <v>3941906</v>
      </c>
      <c r="T10" s="7" t="s">
        <v>4</v>
      </c>
      <c r="U10" s="5">
        <v>4399139</v>
      </c>
    </row>
    <row r="11" spans="1:21" ht="18" x14ac:dyDescent="0.35">
      <c r="P11" s="7">
        <v>2006</v>
      </c>
      <c r="Q11" s="5">
        <v>1675035</v>
      </c>
      <c r="R11" s="5">
        <v>4355582</v>
      </c>
      <c r="T11" s="7" t="s">
        <v>2</v>
      </c>
      <c r="U11" s="5">
        <v>10847838</v>
      </c>
    </row>
    <row r="12" spans="1:21" ht="18" x14ac:dyDescent="0.35">
      <c r="P12" s="7">
        <v>2007</v>
      </c>
      <c r="Q12" s="5">
        <v>1832425</v>
      </c>
      <c r="R12" s="5">
        <v>4848733</v>
      </c>
    </row>
    <row r="13" spans="1:21" ht="18" x14ac:dyDescent="0.35">
      <c r="P13" s="7">
        <v>2008</v>
      </c>
      <c r="Q13" s="5">
        <v>2106566</v>
      </c>
      <c r="R13" s="5">
        <v>5548301</v>
      </c>
      <c r="T13" s="6" t="s">
        <v>25</v>
      </c>
      <c r="U13" t="s">
        <v>26</v>
      </c>
    </row>
    <row r="14" spans="1:21" ht="18" x14ac:dyDescent="0.35">
      <c r="P14" s="7">
        <v>2009</v>
      </c>
      <c r="Q14" s="5">
        <v>2310525</v>
      </c>
      <c r="R14" s="5">
        <v>6454748</v>
      </c>
      <c r="T14" s="7" t="s">
        <v>1</v>
      </c>
      <c r="U14" s="5">
        <v>466286.73333333334</v>
      </c>
    </row>
    <row r="15" spans="1:21" ht="18" x14ac:dyDescent="0.35">
      <c r="P15" s="7">
        <v>2010</v>
      </c>
      <c r="Q15" s="5">
        <v>3347542</v>
      </c>
      <c r="R15" s="5">
        <v>8020356</v>
      </c>
      <c r="T15" s="7" t="s">
        <v>5</v>
      </c>
      <c r="U15" s="5">
        <v>473695.33333333331</v>
      </c>
    </row>
    <row r="16" spans="1:21" ht="18" x14ac:dyDescent="0.35">
      <c r="P16" s="7">
        <v>2011</v>
      </c>
      <c r="Q16" s="5">
        <v>5148943</v>
      </c>
      <c r="R16" s="5">
        <v>9661270</v>
      </c>
      <c r="T16" s="7" t="s">
        <v>3</v>
      </c>
      <c r="U16" s="5">
        <v>473368.13333333336</v>
      </c>
    </row>
    <row r="17" spans="16:21" ht="18" x14ac:dyDescent="0.35">
      <c r="P17" s="7">
        <v>2012</v>
      </c>
      <c r="Q17" s="5">
        <v>6046129</v>
      </c>
      <c r="R17" s="5">
        <v>10634533</v>
      </c>
      <c r="T17" s="7" t="s">
        <v>0</v>
      </c>
      <c r="U17" s="5">
        <v>462320.2</v>
      </c>
    </row>
    <row r="18" spans="16:21" ht="18" x14ac:dyDescent="0.35">
      <c r="P18" s="7">
        <v>2013</v>
      </c>
      <c r="Q18" s="5">
        <v>5675129</v>
      </c>
      <c r="R18" s="5">
        <v>11167822</v>
      </c>
      <c r="T18" s="7" t="s">
        <v>4</v>
      </c>
      <c r="U18" s="5">
        <v>478078.8</v>
      </c>
    </row>
    <row r="19" spans="16:21" ht="18" x14ac:dyDescent="0.35">
      <c r="P19" s="7">
        <v>2014</v>
      </c>
      <c r="Q19" s="5">
        <v>5209027</v>
      </c>
      <c r="R19" s="5">
        <v>12133405</v>
      </c>
      <c r="T19" s="7" t="s">
        <v>2</v>
      </c>
      <c r="U19" s="5">
        <v>476348.86666666664</v>
      </c>
    </row>
    <row r="20" spans="16:21" ht="18" x14ac:dyDescent="0.35">
      <c r="P20" s="7">
        <v>2015</v>
      </c>
      <c r="Q20" s="5">
        <v>4984323</v>
      </c>
      <c r="R20" s="5">
        <v>13184907</v>
      </c>
    </row>
    <row r="22" spans="16:21" ht="18" x14ac:dyDescent="0.35">
      <c r="Q22" s="5"/>
      <c r="R22" s="5"/>
    </row>
  </sheetData>
  <pageMargins left="0.7" right="0.7" top="0.75" bottom="0.75" header="0.3" footer="0.3"/>
  <pageSetup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D4B-CB17-0D4E-B70B-C752035185CF}">
  <dimension ref="A1:L34"/>
  <sheetViews>
    <sheetView topLeftCell="B2" zoomScale="70" zoomScaleNormal="70" workbookViewId="0">
      <selection activeCell="F32" sqref="F32"/>
    </sheetView>
  </sheetViews>
  <sheetFormatPr baseColWidth="10" defaultRowHeight="14.4" x14ac:dyDescent="0.3"/>
  <cols>
    <col min="1" max="2" width="29" style="13" customWidth="1"/>
    <col min="3" max="4" width="30" style="13" customWidth="1"/>
    <col min="5" max="5" width="71.77734375" style="13" bestFit="1" customWidth="1"/>
    <col min="6" max="6" width="59" style="13" bestFit="1" customWidth="1"/>
    <col min="7" max="7" width="72" style="13" customWidth="1"/>
    <col min="8" max="8" width="25.77734375" style="13" customWidth="1"/>
    <col min="9" max="9" width="11.5546875" style="13"/>
    <col min="10" max="10" width="25" style="13" customWidth="1"/>
    <col min="11" max="11" width="38.77734375" style="13" customWidth="1"/>
    <col min="12" max="12" width="40.33203125" style="13" customWidth="1"/>
  </cols>
  <sheetData>
    <row r="1" spans="1:12" ht="21" x14ac:dyDescent="0.4">
      <c r="A1" s="12" t="s">
        <v>10</v>
      </c>
      <c r="C1" s="12" t="s">
        <v>12</v>
      </c>
      <c r="E1" s="12" t="s">
        <v>13</v>
      </c>
      <c r="F1" s="12" t="s">
        <v>27</v>
      </c>
      <c r="G1" s="12" t="s">
        <v>28</v>
      </c>
      <c r="J1" s="12" t="s">
        <v>14</v>
      </c>
      <c r="K1" s="12" t="s">
        <v>15</v>
      </c>
      <c r="L1" s="12" t="s">
        <v>16</v>
      </c>
    </row>
    <row r="2" spans="1:12" ht="28.95" customHeight="1" x14ac:dyDescent="0.4">
      <c r="A2" s="14">
        <f>SUMIFS(Table1[Gastos totales (miles)],Table1[Aerolínea],Tablas!C2)</f>
        <v>31918255</v>
      </c>
      <c r="C2" s="15" t="str" cm="1">
        <f t="array" ref="C2">_xlfn.XLOOKUP(C3,D2:D7,_xlfn.ANCHORARRAY(E2))</f>
        <v>Air Europa</v>
      </c>
      <c r="D2" s="28">
        <v>1</v>
      </c>
      <c r="E2" s="15" t="str" cm="1">
        <f t="array" ref="E2:E7">_xlfn.UNIQUE(Table1[Aerolínea])</f>
        <v>Iberia</v>
      </c>
      <c r="F2" s="14">
        <f>SUMIFS(Table1[Gastos totales (miles)],Table1[Aerolínea],Tablas!E2,Table1[Año],Tablas!$H$3)</f>
        <v>2022890</v>
      </c>
      <c r="G2" s="14">
        <f>IF(E2=$C$2,F2,0)</f>
        <v>0</v>
      </c>
      <c r="H2" s="13">
        <v>7</v>
      </c>
      <c r="I2" s="13">
        <v>1</v>
      </c>
      <c r="J2" s="15">
        <v>2001</v>
      </c>
      <c r="K2" s="14">
        <f>SUMIFS('Datos Aerolíneas'!D:D,'Datos Aerolíneas'!A:A,Tablas!$C$2,'Datos Aerolíneas'!B:B,Tablas!J2)</f>
        <v>569292</v>
      </c>
      <c r="L2" s="14">
        <f>SUMIFS('Datos Aerolíneas'!C:C,'Datos Aerolíneas'!A:A,Tablas!$C$2,'Datos Aerolíneas'!B:B,Tablas!J2)</f>
        <v>103795</v>
      </c>
    </row>
    <row r="3" spans="1:12" ht="28.95" customHeight="1" x14ac:dyDescent="0.4">
      <c r="A3" s="15"/>
      <c r="C3" s="15">
        <v>2</v>
      </c>
      <c r="D3" s="28">
        <v>2</v>
      </c>
      <c r="E3" s="15" t="str">
        <v>Air Europa</v>
      </c>
      <c r="F3" s="14">
        <f>SUMIFS(Table1[Gastos totales (miles)],Table1[Aerolínea],Tablas!E3,Table1[Año],Tablas!$H$3)</f>
        <v>1501350</v>
      </c>
      <c r="G3" s="14">
        <f t="shared" ref="G3:G7" si="0">IF(E3=$C$2,F3,0)</f>
        <v>1501350</v>
      </c>
      <c r="H3" s="30">
        <f>_xlfn.XLOOKUP(Tablas!H2,Tablas!I2:I16,Tablas!J2:J16)</f>
        <v>2007</v>
      </c>
      <c r="I3" s="13">
        <v>2</v>
      </c>
      <c r="J3" s="15">
        <v>2002</v>
      </c>
      <c r="K3" s="14">
        <f>SUMIFS('Datos Aerolíneas'!D:D,'Datos Aerolíneas'!A:A,Tablas!$C$2,'Datos Aerolíneas'!B:B,Tablas!J3)</f>
        <v>640614</v>
      </c>
      <c r="L3" s="14">
        <f>SUMIFS('Datos Aerolíneas'!C:C,'Datos Aerolíneas'!A:A,Tablas!$C$2,'Datos Aerolíneas'!B:B,Tablas!J3)</f>
        <v>111477</v>
      </c>
    </row>
    <row r="4" spans="1:12" ht="28.95" customHeight="1" x14ac:dyDescent="0.4">
      <c r="A4" s="12" t="s">
        <v>11</v>
      </c>
      <c r="D4" s="28">
        <v>3</v>
      </c>
      <c r="E4" s="15" t="str">
        <v>Ryanair</v>
      </c>
      <c r="F4" s="14">
        <f>SUMIFS(Table1[Gastos totales (miles)],Table1[Aerolínea],Tablas!E4,Table1[Año],Tablas!$H$3)</f>
        <v>575347</v>
      </c>
      <c r="G4" s="14">
        <f t="shared" si="0"/>
        <v>0</v>
      </c>
      <c r="I4" s="13">
        <v>3</v>
      </c>
      <c r="J4" s="15">
        <v>2003</v>
      </c>
      <c r="K4" s="14">
        <f>SUMIFS('Datos Aerolíneas'!D:D,'Datos Aerolíneas'!A:A,Tablas!$C$2,'Datos Aerolíneas'!B:B,Tablas!J4)</f>
        <v>777655</v>
      </c>
      <c r="L4" s="14">
        <f>SUMIFS('Datos Aerolíneas'!C:C,'Datos Aerolíneas'!A:A,Tablas!$C$2,'Datos Aerolíneas'!B:B,Tablas!J4)</f>
        <v>118664</v>
      </c>
    </row>
    <row r="5" spans="1:12" ht="28.95" customHeight="1" x14ac:dyDescent="0.4">
      <c r="A5" s="14">
        <f>SUMIFS(Table1[Gastos combustible],Table1[Aerolínea],Tablas!C2)</f>
        <v>6994301</v>
      </c>
      <c r="D5" s="28">
        <v>4</v>
      </c>
      <c r="E5" s="15" t="str">
        <v>Easyjet</v>
      </c>
      <c r="F5" s="14">
        <f>SUMIFS(Table1[Gastos totales (miles)],Table1[Aerolínea],Tablas!E5,Table1[Año],Tablas!$H$3)</f>
        <v>420915</v>
      </c>
      <c r="G5" s="14">
        <f t="shared" si="0"/>
        <v>0</v>
      </c>
      <c r="I5" s="13">
        <v>4</v>
      </c>
      <c r="J5" s="15">
        <v>2004</v>
      </c>
      <c r="K5" s="14">
        <f>SUMIFS('Datos Aerolíneas'!D:D,'Datos Aerolíneas'!A:A,Tablas!$C$2,'Datos Aerolíneas'!B:B,Tablas!J5)</f>
        <v>999294</v>
      </c>
      <c r="L5" s="14">
        <f>SUMIFS('Datos Aerolíneas'!C:C,'Datos Aerolíneas'!A:A,Tablas!$C$2,'Datos Aerolíneas'!B:B,Tablas!J5)</f>
        <v>114797</v>
      </c>
    </row>
    <row r="6" spans="1:12" ht="28.95" customHeight="1" x14ac:dyDescent="0.4">
      <c r="C6" s="15"/>
      <c r="D6" s="28">
        <v>5</v>
      </c>
      <c r="E6" s="15" t="str">
        <v>Iberojet</v>
      </c>
      <c r="F6" s="14">
        <f>SUMIFS(Table1[Gastos totales (miles)],Table1[Aerolínea],Tablas!E6,Table1[Año],Tablas!$H$3)</f>
        <v>183169</v>
      </c>
      <c r="G6" s="14">
        <f t="shared" si="0"/>
        <v>0</v>
      </c>
      <c r="I6" s="13">
        <v>5</v>
      </c>
      <c r="J6" s="15">
        <v>2005</v>
      </c>
      <c r="K6" s="14">
        <f>SUMIFS('Datos Aerolíneas'!D:D,'Datos Aerolíneas'!A:A,Tablas!$C$2,'Datos Aerolíneas'!B:B,Tablas!J6)</f>
        <v>1203970</v>
      </c>
      <c r="L6" s="14">
        <f>SUMIFS('Datos Aerolíneas'!C:C,'Datos Aerolíneas'!A:A,Tablas!$C$2,'Datos Aerolíneas'!B:B,Tablas!J6)</f>
        <v>215322</v>
      </c>
    </row>
    <row r="7" spans="1:12" ht="28.95" customHeight="1" x14ac:dyDescent="0.4">
      <c r="C7" s="15"/>
      <c r="D7" s="28">
        <v>6</v>
      </c>
      <c r="E7" s="15" t="str">
        <v>American Airlines</v>
      </c>
      <c r="F7" s="14">
        <f>SUMIFS(Table1[Gastos totales (miles)],Table1[Aerolínea],Tablas!E7,Table1[Año],Tablas!$H$3)</f>
        <v>145062</v>
      </c>
      <c r="G7" s="14">
        <f t="shared" si="0"/>
        <v>0</v>
      </c>
      <c r="I7" s="13">
        <v>6</v>
      </c>
      <c r="J7" s="15">
        <v>2006</v>
      </c>
      <c r="K7" s="14">
        <f>SUMIFS('Datos Aerolíneas'!D:D,'Datos Aerolíneas'!A:A,Tablas!$C$2,'Datos Aerolíneas'!B:B,Tablas!J7)</f>
        <v>1358100</v>
      </c>
      <c r="L7" s="14">
        <f>SUMIFS('Datos Aerolíneas'!C:C,'Datos Aerolíneas'!A:A,Tablas!$C$2,'Datos Aerolíneas'!B:B,Tablas!J7)</f>
        <v>281704</v>
      </c>
    </row>
    <row r="8" spans="1:12" ht="28.95" customHeight="1" x14ac:dyDescent="0.4">
      <c r="C8" s="15"/>
      <c r="D8" s="15"/>
      <c r="E8" s="15"/>
      <c r="F8" s="15"/>
      <c r="G8" s="15"/>
      <c r="I8" s="13">
        <v>7</v>
      </c>
      <c r="J8" s="15">
        <v>2007</v>
      </c>
      <c r="K8" s="14">
        <f>SUMIFS('Datos Aerolíneas'!D:D,'Datos Aerolíneas'!A:A,Tablas!$C$2,'Datos Aerolíneas'!B:B,Tablas!J8)</f>
        <v>1501350</v>
      </c>
      <c r="L8" s="14">
        <f>SUMIFS('Datos Aerolíneas'!C:C,'Datos Aerolíneas'!A:A,Tablas!$C$2,'Datos Aerolíneas'!B:B,Tablas!J8)</f>
        <v>304818</v>
      </c>
    </row>
    <row r="9" spans="1:12" ht="28.95" customHeight="1" x14ac:dyDescent="0.4">
      <c r="E9" s="15"/>
      <c r="I9" s="13">
        <v>8</v>
      </c>
      <c r="J9" s="15">
        <v>2008</v>
      </c>
      <c r="K9" s="14">
        <f>SUMIFS('Datos Aerolíneas'!D:D,'Datos Aerolíneas'!A:A,Tablas!$C$2,'Datos Aerolíneas'!B:B,Tablas!J9)</f>
        <v>1709270</v>
      </c>
      <c r="L9" s="14">
        <f>SUMIFS('Datos Aerolíneas'!C:C,'Datos Aerolíneas'!A:A,Tablas!$C$2,'Datos Aerolíneas'!B:B,Tablas!J9)</f>
        <v>348609</v>
      </c>
    </row>
    <row r="10" spans="1:12" ht="28.95" customHeight="1" x14ac:dyDescent="0.4">
      <c r="E10" s="15"/>
      <c r="I10" s="13">
        <v>9</v>
      </c>
      <c r="J10" s="15">
        <v>2009</v>
      </c>
      <c r="K10" s="14">
        <f>SUMIFS('Datos Aerolíneas'!D:D,'Datos Aerolíneas'!A:A,Tablas!$C$2,'Datos Aerolíneas'!B:B,Tablas!J10)</f>
        <v>2025400</v>
      </c>
      <c r="L10" s="14">
        <f>SUMIFS('Datos Aerolíneas'!C:C,'Datos Aerolíneas'!A:A,Tablas!$C$2,'Datos Aerolíneas'!B:B,Tablas!J10)</f>
        <v>374579</v>
      </c>
    </row>
    <row r="11" spans="1:12" ht="28.95" customHeight="1" x14ac:dyDescent="0.4">
      <c r="I11" s="13">
        <v>10</v>
      </c>
      <c r="J11" s="15">
        <v>2010</v>
      </c>
      <c r="K11" s="14">
        <f>SUMIFS('Datos Aerolíneas'!D:D,'Datos Aerolíneas'!A:A,Tablas!$C$2,'Datos Aerolíneas'!B:B,Tablas!J11)</f>
        <v>2548370</v>
      </c>
      <c r="L11" s="14">
        <f>SUMIFS('Datos Aerolíneas'!C:C,'Datos Aerolíneas'!A:A,Tablas!$C$2,'Datos Aerolíneas'!B:B,Tablas!J11)</f>
        <v>544109</v>
      </c>
    </row>
    <row r="12" spans="1:12" ht="28.95" customHeight="1" x14ac:dyDescent="0.4">
      <c r="I12" s="13">
        <v>11</v>
      </c>
      <c r="J12" s="15">
        <v>2011</v>
      </c>
      <c r="K12" s="14">
        <f>SUMIFS('Datos Aerolíneas'!D:D,'Datos Aerolíneas'!A:A,Tablas!$C$2,'Datos Aerolíneas'!B:B,Tablas!J12)</f>
        <v>3137740</v>
      </c>
      <c r="L12" s="14">
        <f>SUMIFS('Datos Aerolíneas'!C:C,'Datos Aerolíneas'!A:A,Tablas!$C$2,'Datos Aerolíneas'!B:B,Tablas!J12)</f>
        <v>853356</v>
      </c>
    </row>
    <row r="13" spans="1:12" ht="28.95" customHeight="1" x14ac:dyDescent="0.4">
      <c r="I13" s="13">
        <v>12</v>
      </c>
      <c r="J13" s="15">
        <v>2012</v>
      </c>
      <c r="K13" s="14">
        <f>SUMIFS('Datos Aerolíneas'!D:D,'Datos Aerolíneas'!A:A,Tablas!$C$2,'Datos Aerolíneas'!B:B,Tablas!J13)</f>
        <v>3557700</v>
      </c>
      <c r="L13" s="14">
        <f>SUMIFS('Datos Aerolíneas'!C:C,'Datos Aerolíneas'!A:A,Tablas!$C$2,'Datos Aerolíneas'!B:B,Tablas!J13)</f>
        <v>1003200</v>
      </c>
    </row>
    <row r="14" spans="1:12" ht="28.95" customHeight="1" x14ac:dyDescent="0.4">
      <c r="I14" s="13">
        <v>13</v>
      </c>
      <c r="J14" s="15">
        <v>2013</v>
      </c>
      <c r="K14" s="14">
        <f>SUMIFS('Datos Aerolíneas'!D:D,'Datos Aerolíneas'!A:A,Tablas!$C$2,'Datos Aerolíneas'!B:B,Tablas!J14)</f>
        <v>3717740</v>
      </c>
      <c r="L14" s="14">
        <f>SUMIFS('Datos Aerolíneas'!C:C,'Datos Aerolíneas'!A:A,Tablas!$C$2,'Datos Aerolíneas'!B:B,Tablas!J14)</f>
        <v>941977</v>
      </c>
    </row>
    <row r="15" spans="1:12" ht="28.95" customHeight="1" x14ac:dyDescent="0.4">
      <c r="I15" s="13">
        <v>14</v>
      </c>
      <c r="J15" s="15">
        <v>2014</v>
      </c>
      <c r="K15" s="14">
        <f>SUMIFS('Datos Aerolíneas'!D:D,'Datos Aerolíneas'!A:A,Tablas!$C$2,'Datos Aerolíneas'!B:B,Tablas!J15)</f>
        <v>3962370</v>
      </c>
      <c r="L15" s="14">
        <f>SUMIFS('Datos Aerolíneas'!C:C,'Datos Aerolíneas'!A:A,Tablas!$C$2,'Datos Aerolíneas'!B:B,Tablas!J15)</f>
        <v>856533</v>
      </c>
    </row>
    <row r="16" spans="1:12" ht="28.95" customHeight="1" x14ac:dyDescent="0.4">
      <c r="I16" s="13">
        <v>15</v>
      </c>
      <c r="J16" s="15">
        <v>2015</v>
      </c>
      <c r="K16" s="14">
        <f>SUMIFS('Datos Aerolíneas'!D:D,'Datos Aerolíneas'!A:A,Tablas!$C$2,'Datos Aerolíneas'!B:B,Tablas!J16)</f>
        <v>4209390</v>
      </c>
      <c r="L16" s="14">
        <f>SUMIFS('Datos Aerolíneas'!C:C,'Datos Aerolíneas'!A:A,Tablas!$C$2,'Datos Aerolíneas'!B:B,Tablas!J16)</f>
        <v>821361</v>
      </c>
    </row>
    <row r="24" spans="5:7" ht="21" x14ac:dyDescent="0.4">
      <c r="E24" s="12" t="s">
        <v>13</v>
      </c>
      <c r="F24" s="12" t="s">
        <v>29</v>
      </c>
      <c r="G24" s="12" t="s">
        <v>30</v>
      </c>
    </row>
    <row r="25" spans="5:7" ht="21" x14ac:dyDescent="0.4">
      <c r="E25" s="15" t="s">
        <v>0</v>
      </c>
      <c r="F25" s="14">
        <f>AVERAGEIFS(Table1[Gastos combustible],Table1[Aerolínea],Tablas!E25,Table1[Año],Tablas!$H$3)</f>
        <v>263451</v>
      </c>
      <c r="G25" s="14"/>
    </row>
    <row r="26" spans="5:7" ht="21" x14ac:dyDescent="0.4">
      <c r="E26" s="15" t="s">
        <v>1</v>
      </c>
      <c r="F26" s="14">
        <f>AVERAGEIFS(Table1[Gastos combustible],Table1[Aerolínea],Tablas!E26)</f>
        <v>466286.73333333334</v>
      </c>
      <c r="G26" s="14"/>
    </row>
    <row r="27" spans="5:7" ht="21" x14ac:dyDescent="0.4">
      <c r="E27" s="15" t="s">
        <v>2</v>
      </c>
      <c r="F27" s="14">
        <f>AVERAGEIFS(Table1[Gastos combustible],Table1[Aerolínea],Tablas!E27)</f>
        <v>476348.86666666664</v>
      </c>
      <c r="G27" s="14"/>
    </row>
    <row r="28" spans="5:7" ht="21" x14ac:dyDescent="0.4">
      <c r="E28" s="15" t="s">
        <v>3</v>
      </c>
      <c r="F28" s="14">
        <f>AVERAGEIFS(Table1[Gastos combustible],Table1[Aerolínea],Tablas!E28)</f>
        <v>473368.13333333336</v>
      </c>
      <c r="G28" s="14"/>
    </row>
    <row r="29" spans="5:7" ht="21" x14ac:dyDescent="0.4">
      <c r="E29" s="15" t="s">
        <v>4</v>
      </c>
      <c r="F29" s="14">
        <f>AVERAGEIFS(Table1[Gastos combustible],Table1[Aerolínea],Tablas!E29)</f>
        <v>478078.8</v>
      </c>
      <c r="G29" s="14"/>
    </row>
    <row r="30" spans="5:7" ht="21" x14ac:dyDescent="0.4">
      <c r="E30" s="15" t="s">
        <v>5</v>
      </c>
      <c r="F30" s="14">
        <f>AVERAGEIFS(Table1[Gastos combustible],Table1[Aerolínea],Tablas!E30)</f>
        <v>473695.33333333331</v>
      </c>
      <c r="G30" s="14"/>
    </row>
    <row r="32" spans="5:7" ht="28.95" customHeight="1" x14ac:dyDescent="0.4">
      <c r="E32" s="16" t="s">
        <v>30</v>
      </c>
      <c r="F32" s="17">
        <f>AVERAGEIFS(Table1[Gastos combustible],Table1[Aerolínea],Tablas!C2,Table1[Año],Tablas!$H$3)</f>
        <v>304818</v>
      </c>
      <c r="G32" s="18"/>
    </row>
    <row r="33" spans="5:6" ht="28.95" customHeight="1" x14ac:dyDescent="0.4">
      <c r="E33" s="16" t="s">
        <v>17</v>
      </c>
      <c r="F33" s="17">
        <f>SUM(F25:F30)-F32</f>
        <v>2326410.8666666667</v>
      </c>
    </row>
    <row r="34" spans="5:6" ht="30" customHeight="1" x14ac:dyDescent="0.4">
      <c r="E34" s="16" t="s">
        <v>18</v>
      </c>
      <c r="F34" s="19">
        <f>F32/SUM(F25:F30)</f>
        <v>0.1158462511040152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7FA3-DF9D-6341-88BC-8BF5CF8D22D5}">
  <dimension ref="A1:O40"/>
  <sheetViews>
    <sheetView showGridLines="0" tabSelected="1" topLeftCell="B1" zoomScaleNormal="100" workbookViewId="0">
      <selection activeCell="F2" sqref="F2"/>
    </sheetView>
  </sheetViews>
  <sheetFormatPr baseColWidth="10" defaultColWidth="0" defaultRowHeight="14.4" zeroHeight="1" x14ac:dyDescent="0.3"/>
  <cols>
    <col min="1" max="1" width="0" hidden="1" customWidth="1"/>
    <col min="2" max="2" width="10.77734375" customWidth="1"/>
    <col min="3" max="3" width="17.109375" customWidth="1"/>
    <col min="4" max="4" width="6.77734375" customWidth="1"/>
    <col min="5" max="9" width="10.77734375" customWidth="1"/>
    <col min="10" max="10" width="12.44140625" customWidth="1"/>
    <col min="11" max="15" width="10.77734375" customWidth="1"/>
    <col min="16" max="16384" width="10.77734375" hidden="1"/>
  </cols>
  <sheetData>
    <row r="1" spans="2:15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5" ht="28.8" x14ac:dyDescent="0.55000000000000004">
      <c r="B2" s="3"/>
      <c r="C2" s="3"/>
      <c r="D2" s="3"/>
      <c r="E2" s="3"/>
      <c r="F2" s="21" t="s">
        <v>19</v>
      </c>
      <c r="G2" s="4"/>
      <c r="H2" s="20"/>
      <c r="I2" s="4"/>
      <c r="J2" s="4"/>
      <c r="K2" s="3"/>
      <c r="L2" s="3"/>
      <c r="M2" s="3"/>
      <c r="N2" s="3"/>
      <c r="O2" s="3"/>
    </row>
    <row r="3" spans="2:15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x14ac:dyDescent="0.3"/>
    <row r="5" spans="2:15" ht="21" x14ac:dyDescent="0.4">
      <c r="B5" s="22" t="s">
        <v>10</v>
      </c>
      <c r="C5" s="22"/>
    </row>
    <row r="6" spans="2:15" ht="21" x14ac:dyDescent="0.4">
      <c r="B6" s="23">
        <f>SUMIFS(Table1[Gastos totales (miles)],Table1[Aerolínea],Tablas!C2)</f>
        <v>31918255</v>
      </c>
      <c r="C6" s="24"/>
    </row>
    <row r="7" spans="2:15" ht="21" x14ac:dyDescent="0.4">
      <c r="B7" s="25" t="s">
        <v>11</v>
      </c>
      <c r="C7" s="25"/>
    </row>
    <row r="8" spans="2:15" ht="21" x14ac:dyDescent="0.4">
      <c r="B8" s="26">
        <f>SUMIFS(Table1[Gastos combustible],Table1[Aerolínea],Tablas!C2)</f>
        <v>6994301</v>
      </c>
      <c r="C8" s="27"/>
    </row>
    <row r="9" spans="2:15" x14ac:dyDescent="0.3"/>
    <row r="10" spans="2:15" x14ac:dyDescent="0.3"/>
    <row r="11" spans="2:15" x14ac:dyDescent="0.3"/>
    <row r="12" spans="2:15" x14ac:dyDescent="0.3"/>
    <row r="13" spans="2:15" x14ac:dyDescent="0.3"/>
    <row r="14" spans="2:15" x14ac:dyDescent="0.3"/>
    <row r="15" spans="2:15" x14ac:dyDescent="0.3"/>
    <row r="16" spans="2:15" x14ac:dyDescent="0.3"/>
    <row r="17" spans="2:3" x14ac:dyDescent="0.3"/>
    <row r="18" spans="2:3" x14ac:dyDescent="0.3">
      <c r="B18" s="29">
        <f>_xlfn.XLOOKUP(Tablas!H2,Tablas!I2:I16,Tablas!J2:J16)</f>
        <v>2007</v>
      </c>
      <c r="C18" s="29"/>
    </row>
    <row r="19" spans="2:3" x14ac:dyDescent="0.3">
      <c r="B19" s="29"/>
      <c r="C19" s="29"/>
    </row>
    <row r="20" spans="2:3" x14ac:dyDescent="0.3"/>
    <row r="21" spans="2:3" x14ac:dyDescent="0.3"/>
    <row r="22" spans="2:3" x14ac:dyDescent="0.3"/>
    <row r="23" spans="2:3" x14ac:dyDescent="0.3"/>
    <row r="24" spans="2:3" x14ac:dyDescent="0.3"/>
    <row r="25" spans="2:3" x14ac:dyDescent="0.3"/>
    <row r="26" spans="2:3" x14ac:dyDescent="0.3"/>
    <row r="27" spans="2:3" x14ac:dyDescent="0.3"/>
    <row r="28" spans="2:3" x14ac:dyDescent="0.3"/>
    <row r="29" spans="2:3" x14ac:dyDescent="0.3"/>
    <row r="30" spans="2:3" x14ac:dyDescent="0.3"/>
    <row r="31" spans="2:3" x14ac:dyDescent="0.3"/>
    <row r="32" spans="2:3" x14ac:dyDescent="0.3"/>
    <row r="33" customFormat="1" x14ac:dyDescent="0.3"/>
    <row r="34" customFormat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</sheetData>
  <mergeCells count="5">
    <mergeCell ref="B5:C5"/>
    <mergeCell ref="B6:C6"/>
    <mergeCell ref="B7:C7"/>
    <mergeCell ref="B8:C8"/>
    <mergeCell ref="B18:C1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List Box 1">
              <controlPr defaultSize="0" autoLine="0" autoPict="0">
                <anchor moveWithCells="1">
                  <from>
                    <xdr:col>0</xdr:col>
                    <xdr:colOff>0</xdr:colOff>
                    <xdr:row>8</xdr:row>
                    <xdr:rowOff>167640</xdr:rowOff>
                  </from>
                  <to>
                    <xdr:col>3</xdr:col>
                    <xdr:colOff>22860</xdr:colOff>
                    <xdr:row>16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2</xdr:col>
                    <xdr:colOff>883920</xdr:colOff>
                    <xdr:row>17</xdr:row>
                    <xdr:rowOff>7620</xdr:rowOff>
                  </from>
                  <to>
                    <xdr:col>3</xdr:col>
                    <xdr:colOff>22860</xdr:colOff>
                    <xdr:row>19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Aerolíneas</vt:lpstr>
      <vt:lpstr>Tablas Dinámicas</vt:lpstr>
      <vt:lpstr>Tablas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Victor Elvis Lorenzo</cp:lastModifiedBy>
  <dcterms:created xsi:type="dcterms:W3CDTF">2022-11-14T17:32:42Z</dcterms:created>
  <dcterms:modified xsi:type="dcterms:W3CDTF">2025-08-03T17:17:06Z</dcterms:modified>
</cp:coreProperties>
</file>