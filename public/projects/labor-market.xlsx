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ml.chartshapes+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codeName="ThisWorkbook" publishItems="1"/>
  <mc:AlternateContent xmlns:mc="http://schemas.openxmlformats.org/markup-compatibility/2006">
    <mc:Choice Requires="x15">
      <x15ac:absPath xmlns:x15ac="http://schemas.microsoft.com/office/spreadsheetml/2010/11/ac" url="C:\Users\reyti\Downloads\"/>
    </mc:Choice>
  </mc:AlternateContent>
  <xr:revisionPtr revIDLastSave="0" documentId="13_ncr:1_{6186D224-D9DB-48FB-9064-1CF36E8697D6}" xr6:coauthVersionLast="47" xr6:coauthVersionMax="47" xr10:uidLastSave="{00000000-0000-0000-0000-000000000000}"/>
  <bookViews>
    <workbookView xWindow="-108" yWindow="-108" windowWidth="23256" windowHeight="12456" activeTab="3" xr2:uid="{DB438AB8-0F60-4224-9C67-97043B861F24}"/>
  </bookViews>
  <sheets>
    <sheet name="Datos" sheetId="1" r:id="rId1"/>
    <sheet name="Instrucciones" sheetId="5" r:id="rId2"/>
    <sheet name="Tablas" sheetId="11" r:id="rId3"/>
    <sheet name="Dashboard (format control)" sheetId="7" r:id="rId4"/>
  </sheets>
  <definedNames>
    <definedName name="_xlnm._FilterDatabase" localSheetId="0" hidden="1">Datos!$A$1:$F$1919</definedName>
    <definedName name="_xlchart.v5.0" hidden="1">Tablas!$T$2</definedName>
    <definedName name="_xlchart.v5.1" hidden="1">Tablas!$T$3:$T$50</definedName>
    <definedName name="_xlchart.v5.2" hidden="1">Tablas!$Y$2</definedName>
    <definedName name="_xlchart.v5.3" hidden="1">Tablas!$Y$3:$Y$50</definedName>
    <definedName name="_xlchart.v5.4" hidden="1">Tablas!$T$2</definedName>
    <definedName name="_xlchart.v5.5" hidden="1">Tablas!$T$3:$T$50</definedName>
    <definedName name="_xlchart.v5.6" hidden="1">Tablas!$Y$2</definedName>
    <definedName name="_xlchart.v5.7" hidden="1">Tablas!$Y$3:$Y$50</definedName>
    <definedName name="Z_948164EF_B902_4A6C_8E3C_A935061C5153_.wvu.FilterData" localSheetId="0" hidden="1">Datos!$A$1:$F$1919</definedName>
    <definedName name="Z_A1F01C08_243B_48FC_94A8_F102AEB1706D_.wvu.FilterData" localSheetId="0" hidden="1">Datos!$A$1:$F$1919</definedName>
  </definedNames>
  <calcPr calcId="191029"/>
  <customWorkbookViews>
    <customWorkbookView name="Dashboard" guid="{948164EF-B902-4A6C-8E3C-A935061C5153}" maximized="1" xWindow="-8" yWindow="-8" windowWidth="1936" windowHeight="1056" activeSheetId="8" showFormulaBar="0"/>
    <customWorkbookView name="ShowAllWorksheets" guid="{A1F01C08-243B-48FC-94A8-F102AEB1706D}" maximized="1" xWindow="-8" yWindow="-8" windowWidth="1936" windowHeight="1056" activeSheetId="8" showFormulaBar="0"/>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D7" i="7" l="1"/>
  <c r="C18" i="11" s="1"/>
  <c r="C29" i="11"/>
  <c r="Y2" i="11" s="1"/>
  <c r="AB3" i="11" a="1"/>
  <c r="AB3" i="11" s="1"/>
  <c r="AB4" i="11" a="1"/>
  <c r="AB4" i="11" s="1"/>
  <c r="AB5" i="11" a="1"/>
  <c r="AB5" i="11" s="1"/>
  <c r="AB6" i="11" a="1"/>
  <c r="AB6" i="11" s="1"/>
  <c r="AB7" i="11" a="1"/>
  <c r="AB7" i="11" s="1"/>
  <c r="AB8" i="11" a="1"/>
  <c r="AB8" i="11" s="1"/>
  <c r="AB9" i="11" a="1"/>
  <c r="AB9" i="11" s="1"/>
  <c r="AB10" i="11" a="1"/>
  <c r="AB10" i="11" s="1"/>
  <c r="AB11" i="11" a="1"/>
  <c r="AB11" i="11" s="1"/>
  <c r="AB12" i="11" a="1"/>
  <c r="AB12" i="11" s="1"/>
  <c r="AB13" i="11" a="1"/>
  <c r="AB13" i="11" s="1"/>
  <c r="AB14" i="11" a="1"/>
  <c r="AB14" i="11" s="1"/>
  <c r="AB15" i="11" a="1"/>
  <c r="AB15" i="11" s="1"/>
  <c r="AB16" i="11" a="1"/>
  <c r="AB16" i="11" s="1"/>
  <c r="AB17" i="11" a="1"/>
  <c r="AB17" i="11" s="1"/>
  <c r="AB18" i="11" a="1"/>
  <c r="AB18" i="11" s="1"/>
  <c r="AB19" i="11" a="1"/>
  <c r="AB19" i="11" s="1"/>
  <c r="AB20" i="11" a="1"/>
  <c r="AB20" i="11" s="1"/>
  <c r="AB21" i="11" a="1"/>
  <c r="AB21" i="11" s="1"/>
  <c r="AB22" i="11" a="1"/>
  <c r="AB22" i="11" s="1"/>
  <c r="AB23" i="11" a="1"/>
  <c r="AB23" i="11" s="1"/>
  <c r="AB24" i="11" a="1"/>
  <c r="AB24" i="11" s="1"/>
  <c r="AB25" i="11" a="1"/>
  <c r="AB25" i="11" s="1"/>
  <c r="AB26" i="11" a="1"/>
  <c r="AB26" i="11" s="1"/>
  <c r="AB27" i="11" a="1"/>
  <c r="AB27" i="11" s="1"/>
  <c r="AB28" i="11" a="1"/>
  <c r="AB28" i="11" s="1"/>
  <c r="AB29" i="11" a="1"/>
  <c r="AB29" i="11" s="1"/>
  <c r="AB30" i="11" a="1"/>
  <c r="AB30" i="11" s="1"/>
  <c r="AB31" i="11" a="1"/>
  <c r="AB31" i="11" s="1"/>
  <c r="AB32" i="11" a="1"/>
  <c r="AB32" i="11" s="1"/>
  <c r="AB33" i="11" a="1"/>
  <c r="AB33" i="11" s="1"/>
  <c r="AB34" i="11" a="1"/>
  <c r="AB34" i="11" s="1"/>
  <c r="AB35" i="11" a="1"/>
  <c r="AB35" i="11" s="1"/>
  <c r="AB36" i="11" a="1"/>
  <c r="AB36" i="11" s="1"/>
  <c r="AB37" i="11" a="1"/>
  <c r="AB37" i="11" s="1"/>
  <c r="AB38" i="11" a="1"/>
  <c r="AB38" i="11" s="1"/>
  <c r="AB39" i="11" a="1"/>
  <c r="AB39" i="11" s="1"/>
  <c r="AB40" i="11" a="1"/>
  <c r="AB40" i="11" s="1"/>
  <c r="AB41" i="11" a="1"/>
  <c r="AB41" i="11" s="1"/>
  <c r="AB42" i="11" a="1"/>
  <c r="AB42" i="11" s="1"/>
  <c r="AB43" i="11" a="1"/>
  <c r="AB43" i="11" s="1"/>
  <c r="AB44" i="11" a="1"/>
  <c r="AB44" i="11" s="1"/>
  <c r="AB45" i="11" a="1"/>
  <c r="AB45" i="11" s="1"/>
  <c r="AB46" i="11" a="1"/>
  <c r="AB46" i="11" s="1"/>
  <c r="AB47" i="11" a="1"/>
  <c r="AB47" i="11" s="1"/>
  <c r="AB48" i="11" a="1"/>
  <c r="AB48" i="11" s="1"/>
  <c r="AB49" i="11" a="1"/>
  <c r="AB49" i="11" s="1"/>
  <c r="AB2" i="11" a="1"/>
  <c r="AB2" i="11" s="1"/>
  <c r="F4" i="11" l="1"/>
  <c r="J12" i="11"/>
  <c r="F7" i="11"/>
  <c r="J5" i="11"/>
  <c r="F11" i="11"/>
  <c r="F6" i="11"/>
  <c r="F3" i="11"/>
  <c r="J9" i="11"/>
  <c r="J10" i="11"/>
  <c r="J11" i="11"/>
  <c r="J3" i="11"/>
  <c r="F8" i="11"/>
  <c r="F9" i="11"/>
  <c r="F10" i="11"/>
  <c r="F12" i="11"/>
  <c r="J4" i="11"/>
  <c r="J6" i="11"/>
  <c r="J7" i="11"/>
  <c r="J8" i="11"/>
  <c r="F5" i="11"/>
  <c r="B3" i="11" a="1"/>
  <c r="B3" i="11" s="1"/>
  <c r="B7" i="7" s="1" a="1"/>
  <c r="B7" i="7" s="1"/>
  <c r="C3" i="11" s="1"/>
  <c r="X29" i="11" s="1"/>
  <c r="U34" i="11" l="1"/>
  <c r="W34" i="11" s="1"/>
  <c r="X13" i="11"/>
  <c r="U14" i="11"/>
  <c r="W14" i="11" s="1"/>
  <c r="X28" i="11"/>
  <c r="U28" i="11"/>
  <c r="W28" i="11" s="1"/>
  <c r="U33" i="11"/>
  <c r="W33" i="11" s="1"/>
  <c r="X20" i="11"/>
  <c r="U20" i="11"/>
  <c r="W20" i="11" s="1"/>
  <c r="U44" i="11"/>
  <c r="W44" i="11" s="1"/>
  <c r="U32" i="11"/>
  <c r="W32" i="11" s="1"/>
  <c r="U46" i="11"/>
  <c r="W46" i="11" s="1"/>
  <c r="X25" i="11"/>
  <c r="U26" i="11"/>
  <c r="W26" i="11" s="1"/>
  <c r="U4" i="11"/>
  <c r="W4" i="11" s="1"/>
  <c r="X12" i="11"/>
  <c r="G11" i="11"/>
  <c r="U31" i="11"/>
  <c r="W31" i="11" s="1"/>
  <c r="X43" i="11"/>
  <c r="X42" i="11"/>
  <c r="P6" i="11"/>
  <c r="X37" i="11"/>
  <c r="Y37" i="11" s="1"/>
  <c r="U38" i="11"/>
  <c r="W38" i="11" s="1"/>
  <c r="U16" i="11"/>
  <c r="W16" i="11" s="1"/>
  <c r="X24" i="11"/>
  <c r="Y24" i="11" s="1"/>
  <c r="X30" i="11"/>
  <c r="G3" i="11"/>
  <c r="X18" i="11"/>
  <c r="U45" i="11"/>
  <c r="W45" i="11" s="1"/>
  <c r="G12" i="11"/>
  <c r="X49" i="11"/>
  <c r="U50" i="11"/>
  <c r="W50" i="11" s="1"/>
  <c r="X11" i="11"/>
  <c r="X36" i="11"/>
  <c r="Y36" i="11" s="1"/>
  <c r="U8" i="11"/>
  <c r="W8" i="11" s="1"/>
  <c r="X21" i="11"/>
  <c r="Y21" i="11" s="1"/>
  <c r="X19" i="11"/>
  <c r="Y19" i="11" s="1"/>
  <c r="U21" i="11"/>
  <c r="W21" i="11" s="1"/>
  <c r="X23" i="11"/>
  <c r="Y23" i="11" s="1"/>
  <c r="U13" i="11"/>
  <c r="W13" i="11" s="1"/>
  <c r="O6" i="11"/>
  <c r="X14" i="11"/>
  <c r="X48" i="11"/>
  <c r="U40" i="11"/>
  <c r="W40" i="11" s="1"/>
  <c r="U6" i="11"/>
  <c r="W6" i="11" s="1"/>
  <c r="X6" i="11"/>
  <c r="Y6" i="11" s="1"/>
  <c r="P4" i="11"/>
  <c r="X35" i="11"/>
  <c r="Y35" i="11" s="1"/>
  <c r="U25" i="11"/>
  <c r="W25" i="11" s="1"/>
  <c r="X27" i="11"/>
  <c r="I19" i="11"/>
  <c r="J19" i="11" s="1"/>
  <c r="J21" i="11" s="1"/>
  <c r="U12" i="11"/>
  <c r="W12" i="11" s="1"/>
  <c r="U19" i="11"/>
  <c r="W19" i="11" s="1"/>
  <c r="G10" i="11"/>
  <c r="X32" i="11"/>
  <c r="U29" i="11"/>
  <c r="W29" i="11" s="1"/>
  <c r="Y29" i="11" s="1"/>
  <c r="X47" i="11"/>
  <c r="X39" i="11"/>
  <c r="Y39" i="11" s="1"/>
  <c r="U24" i="11"/>
  <c r="W24" i="11" s="1"/>
  <c r="X5" i="11"/>
  <c r="Y5" i="11" s="1"/>
  <c r="P5" i="11"/>
  <c r="X22" i="11"/>
  <c r="U49" i="11"/>
  <c r="W49" i="11" s="1"/>
  <c r="X3" i="11"/>
  <c r="X17" i="11"/>
  <c r="U42" i="11"/>
  <c r="W42" i="11" s="1"/>
  <c r="U23" i="11"/>
  <c r="W23" i="11" s="1"/>
  <c r="U27" i="11"/>
  <c r="W27" i="11" s="1"/>
  <c r="U39" i="11"/>
  <c r="W39" i="11" s="1"/>
  <c r="U48" i="11"/>
  <c r="W48" i="11" s="1"/>
  <c r="Y48" i="11" s="1"/>
  <c r="G6" i="11"/>
  <c r="U9" i="11"/>
  <c r="W9" i="11" s="1"/>
  <c r="X7" i="11"/>
  <c r="Y7" i="11" s="1"/>
  <c r="G8" i="11"/>
  <c r="U36" i="11"/>
  <c r="W36" i="11" s="1"/>
  <c r="X31" i="11"/>
  <c r="O5" i="11"/>
  <c r="U35" i="11"/>
  <c r="W35" i="11" s="1"/>
  <c r="U3" i="11"/>
  <c r="W3" i="11" s="1"/>
  <c r="O4" i="11"/>
  <c r="U41" i="11"/>
  <c r="W41" i="11" s="1"/>
  <c r="X33" i="11"/>
  <c r="Y33" i="11" s="1"/>
  <c r="U10" i="11"/>
  <c r="W10" i="11" s="1"/>
  <c r="U47" i="11"/>
  <c r="W47" i="11" s="1"/>
  <c r="X38" i="11"/>
  <c r="G4" i="11"/>
  <c r="X4" i="11"/>
  <c r="G5" i="11"/>
  <c r="G7" i="11"/>
  <c r="U18" i="11"/>
  <c r="W18" i="11" s="1"/>
  <c r="U43" i="11"/>
  <c r="W43" i="11" s="1"/>
  <c r="G9" i="11"/>
  <c r="U37" i="11"/>
  <c r="W37" i="11" s="1"/>
  <c r="X15" i="11"/>
  <c r="Y15" i="11" s="1"/>
  <c r="X9" i="11"/>
  <c r="U17" i="11"/>
  <c r="W17" i="11" s="1"/>
  <c r="U11" i="11"/>
  <c r="W11" i="11" s="1"/>
  <c r="U15" i="11"/>
  <c r="W15" i="11" s="1"/>
  <c r="U30" i="11"/>
  <c r="W30" i="11" s="1"/>
  <c r="X34" i="11"/>
  <c r="Y34" i="11" s="1"/>
  <c r="X46" i="11"/>
  <c r="X26" i="11"/>
  <c r="O3" i="11"/>
  <c r="X44" i="11"/>
  <c r="U5" i="11"/>
  <c r="W5" i="11" s="1"/>
  <c r="U22" i="11"/>
  <c r="W22" i="11" s="1"/>
  <c r="P3" i="11"/>
  <c r="X50" i="11"/>
  <c r="Y50" i="11" s="1"/>
  <c r="X16" i="11"/>
  <c r="Y16" i="11" s="1"/>
  <c r="X40" i="11"/>
  <c r="U7" i="11"/>
  <c r="W7" i="11" s="1"/>
  <c r="X45" i="11"/>
  <c r="X8" i="11"/>
  <c r="X41" i="11"/>
  <c r="X10" i="11"/>
  <c r="Y14" i="11"/>
  <c r="Y28" i="11"/>
  <c r="Y3" i="11" l="1"/>
  <c r="Y4" i="11"/>
  <c r="Y42" i="11"/>
  <c r="Y44" i="11"/>
  <c r="Y20" i="11"/>
  <c r="Y32" i="11"/>
  <c r="Y49" i="11"/>
  <c r="Y43" i="11"/>
  <c r="Y41" i="11"/>
  <c r="Y25" i="11"/>
  <c r="Y8" i="11"/>
  <c r="Y18" i="11"/>
  <c r="Y12" i="11"/>
  <c r="Y45" i="11"/>
  <c r="Y13" i="11"/>
  <c r="Y9" i="11"/>
  <c r="Y47" i="11"/>
  <c r="Y11" i="11"/>
  <c r="Y17" i="11"/>
  <c r="Y40" i="11"/>
  <c r="Y22" i="11"/>
  <c r="Y27" i="11"/>
  <c r="Y30" i="11"/>
  <c r="Y46" i="11"/>
  <c r="Y10" i="11"/>
  <c r="J20" i="11"/>
  <c r="Y26" i="11"/>
  <c r="Y38" i="11"/>
  <c r="Y31" i="1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96">
    <bk>
      <extLst>
        <ext uri="{3e2802c4-a4d2-4d8b-9148-e3be6c30e623}">
          <xlrd:rvb i="0"/>
        </ext>
      </extLst>
    </bk>
    <bk>
      <extLst>
        <ext uri="{3e2802c4-a4d2-4d8b-9148-e3be6c30e623}">
          <xlrd:rvb i="18"/>
        </ext>
      </extLst>
    </bk>
    <bk>
      <extLst>
        <ext uri="{3e2802c4-a4d2-4d8b-9148-e3be6c30e623}">
          <xlrd:rvb i="39"/>
        </ext>
      </extLst>
    </bk>
    <bk>
      <extLst>
        <ext uri="{3e2802c4-a4d2-4d8b-9148-e3be6c30e623}">
          <xlrd:rvb i="54"/>
        </ext>
      </extLst>
    </bk>
    <bk>
      <extLst>
        <ext uri="{3e2802c4-a4d2-4d8b-9148-e3be6c30e623}">
          <xlrd:rvb i="75"/>
        </ext>
      </extLst>
    </bk>
    <bk>
      <extLst>
        <ext uri="{3e2802c4-a4d2-4d8b-9148-e3be6c30e623}">
          <xlrd:rvb i="91"/>
        </ext>
      </extLst>
    </bk>
    <bk>
      <extLst>
        <ext uri="{3e2802c4-a4d2-4d8b-9148-e3be6c30e623}">
          <xlrd:rvb i="108"/>
        </ext>
      </extLst>
    </bk>
    <bk>
      <extLst>
        <ext uri="{3e2802c4-a4d2-4d8b-9148-e3be6c30e623}">
          <xlrd:rvb i="124"/>
        </ext>
      </extLst>
    </bk>
    <bk>
      <extLst>
        <ext uri="{3e2802c4-a4d2-4d8b-9148-e3be6c30e623}">
          <xlrd:rvb i="144"/>
        </ext>
      </extLst>
    </bk>
    <bk>
      <extLst>
        <ext uri="{3e2802c4-a4d2-4d8b-9148-e3be6c30e623}">
          <xlrd:rvb i="158"/>
        </ext>
      </extLst>
    </bk>
    <bk>
      <extLst>
        <ext uri="{3e2802c4-a4d2-4d8b-9148-e3be6c30e623}">
          <xlrd:rvb i="178"/>
        </ext>
      </extLst>
    </bk>
    <bk>
      <extLst>
        <ext uri="{3e2802c4-a4d2-4d8b-9148-e3be6c30e623}">
          <xlrd:rvb i="193"/>
        </ext>
      </extLst>
    </bk>
    <bk>
      <extLst>
        <ext uri="{3e2802c4-a4d2-4d8b-9148-e3be6c30e623}">
          <xlrd:rvb i="212"/>
        </ext>
      </extLst>
    </bk>
    <bk>
      <extLst>
        <ext uri="{3e2802c4-a4d2-4d8b-9148-e3be6c30e623}">
          <xlrd:rvb i="227"/>
        </ext>
      </extLst>
    </bk>
    <bk>
      <extLst>
        <ext uri="{3e2802c4-a4d2-4d8b-9148-e3be6c30e623}">
          <xlrd:rvb i="243"/>
        </ext>
      </extLst>
    </bk>
    <bk>
      <extLst>
        <ext uri="{3e2802c4-a4d2-4d8b-9148-e3be6c30e623}">
          <xlrd:rvb i="258"/>
        </ext>
      </extLst>
    </bk>
    <bk>
      <extLst>
        <ext uri="{3e2802c4-a4d2-4d8b-9148-e3be6c30e623}">
          <xlrd:rvb i="273"/>
        </ext>
      </extLst>
    </bk>
    <bk>
      <extLst>
        <ext uri="{3e2802c4-a4d2-4d8b-9148-e3be6c30e623}">
          <xlrd:rvb i="287"/>
        </ext>
      </extLst>
    </bk>
    <bk>
      <extLst>
        <ext uri="{3e2802c4-a4d2-4d8b-9148-e3be6c30e623}">
          <xlrd:rvb i="301"/>
        </ext>
      </extLst>
    </bk>
    <bk>
      <extLst>
        <ext uri="{3e2802c4-a4d2-4d8b-9148-e3be6c30e623}">
          <xlrd:rvb i="315"/>
        </ext>
      </extLst>
    </bk>
    <bk>
      <extLst>
        <ext uri="{3e2802c4-a4d2-4d8b-9148-e3be6c30e623}">
          <xlrd:rvb i="331"/>
        </ext>
      </extLst>
    </bk>
    <bk>
      <extLst>
        <ext uri="{3e2802c4-a4d2-4d8b-9148-e3be6c30e623}">
          <xlrd:rvb i="346"/>
        </ext>
      </extLst>
    </bk>
    <bk>
      <extLst>
        <ext uri="{3e2802c4-a4d2-4d8b-9148-e3be6c30e623}">
          <xlrd:rvb i="361"/>
        </ext>
      </extLst>
    </bk>
    <bk>
      <extLst>
        <ext uri="{3e2802c4-a4d2-4d8b-9148-e3be6c30e623}">
          <xlrd:rvb i="374"/>
        </ext>
      </extLst>
    </bk>
    <bk>
      <extLst>
        <ext uri="{3e2802c4-a4d2-4d8b-9148-e3be6c30e623}">
          <xlrd:rvb i="389"/>
        </ext>
      </extLst>
    </bk>
    <bk>
      <extLst>
        <ext uri="{3e2802c4-a4d2-4d8b-9148-e3be6c30e623}">
          <xlrd:rvb i="403"/>
        </ext>
      </extLst>
    </bk>
    <bk>
      <extLst>
        <ext uri="{3e2802c4-a4d2-4d8b-9148-e3be6c30e623}">
          <xlrd:rvb i="416"/>
        </ext>
      </extLst>
    </bk>
    <bk>
      <extLst>
        <ext uri="{3e2802c4-a4d2-4d8b-9148-e3be6c30e623}">
          <xlrd:rvb i="430"/>
        </ext>
      </extLst>
    </bk>
    <bk>
      <extLst>
        <ext uri="{3e2802c4-a4d2-4d8b-9148-e3be6c30e623}">
          <xlrd:rvb i="443"/>
        </ext>
      </extLst>
    </bk>
    <bk>
      <extLst>
        <ext uri="{3e2802c4-a4d2-4d8b-9148-e3be6c30e623}">
          <xlrd:rvb i="458"/>
        </ext>
      </extLst>
    </bk>
    <bk>
      <extLst>
        <ext uri="{3e2802c4-a4d2-4d8b-9148-e3be6c30e623}">
          <xlrd:rvb i="472"/>
        </ext>
      </extLst>
    </bk>
    <bk>
      <extLst>
        <ext uri="{3e2802c4-a4d2-4d8b-9148-e3be6c30e623}">
          <xlrd:rvb i="489"/>
        </ext>
      </extLst>
    </bk>
    <bk>
      <extLst>
        <ext uri="{3e2802c4-a4d2-4d8b-9148-e3be6c30e623}">
          <xlrd:rvb i="502"/>
        </ext>
      </extLst>
    </bk>
    <bk>
      <extLst>
        <ext uri="{3e2802c4-a4d2-4d8b-9148-e3be6c30e623}">
          <xlrd:rvb i="516"/>
        </ext>
      </extLst>
    </bk>
    <bk>
      <extLst>
        <ext uri="{3e2802c4-a4d2-4d8b-9148-e3be6c30e623}">
          <xlrd:rvb i="529"/>
        </ext>
      </extLst>
    </bk>
    <bk>
      <extLst>
        <ext uri="{3e2802c4-a4d2-4d8b-9148-e3be6c30e623}">
          <xlrd:rvb i="544"/>
        </ext>
      </extLst>
    </bk>
    <bk>
      <extLst>
        <ext uri="{3e2802c4-a4d2-4d8b-9148-e3be6c30e623}">
          <xlrd:rvb i="557"/>
        </ext>
      </extLst>
    </bk>
    <bk>
      <extLst>
        <ext uri="{3e2802c4-a4d2-4d8b-9148-e3be6c30e623}">
          <xlrd:rvb i="570"/>
        </ext>
      </extLst>
    </bk>
    <bk>
      <extLst>
        <ext uri="{3e2802c4-a4d2-4d8b-9148-e3be6c30e623}">
          <xlrd:rvb i="583"/>
        </ext>
      </extLst>
    </bk>
    <bk>
      <extLst>
        <ext uri="{3e2802c4-a4d2-4d8b-9148-e3be6c30e623}">
          <xlrd:rvb i="599"/>
        </ext>
      </extLst>
    </bk>
    <bk>
      <extLst>
        <ext uri="{3e2802c4-a4d2-4d8b-9148-e3be6c30e623}">
          <xlrd:rvb i="612"/>
        </ext>
      </extLst>
    </bk>
    <bk>
      <extLst>
        <ext uri="{3e2802c4-a4d2-4d8b-9148-e3be6c30e623}">
          <xlrd:rvb i="628"/>
        </ext>
      </extLst>
    </bk>
    <bk>
      <extLst>
        <ext uri="{3e2802c4-a4d2-4d8b-9148-e3be6c30e623}">
          <xlrd:rvb i="639"/>
        </ext>
      </extLst>
    </bk>
    <bk>
      <extLst>
        <ext uri="{3e2802c4-a4d2-4d8b-9148-e3be6c30e623}">
          <xlrd:rvb i="654"/>
        </ext>
      </extLst>
    </bk>
    <bk>
      <extLst>
        <ext uri="{3e2802c4-a4d2-4d8b-9148-e3be6c30e623}">
          <xlrd:rvb i="665"/>
        </ext>
      </extLst>
    </bk>
    <bk>
      <extLst>
        <ext uri="{3e2802c4-a4d2-4d8b-9148-e3be6c30e623}">
          <xlrd:rvb i="680"/>
        </ext>
      </extLst>
    </bk>
    <bk>
      <extLst>
        <ext uri="{3e2802c4-a4d2-4d8b-9148-e3be6c30e623}">
          <xlrd:rvb i="688"/>
        </ext>
      </extLst>
    </bk>
    <bk>
      <extLst>
        <ext uri="{3e2802c4-a4d2-4d8b-9148-e3be6c30e623}">
          <xlrd:rvb i="703"/>
        </ext>
      </extLst>
    </bk>
    <bk>
      <extLst>
        <ext uri="{3e2802c4-a4d2-4d8b-9148-e3be6c30e623}">
          <xlrd:rvb i="718"/>
        </ext>
      </extLst>
    </bk>
    <bk>
      <extLst>
        <ext uri="{3e2802c4-a4d2-4d8b-9148-e3be6c30e623}">
          <xlrd:rvb i="734"/>
        </ext>
      </extLst>
    </bk>
    <bk>
      <extLst>
        <ext uri="{3e2802c4-a4d2-4d8b-9148-e3be6c30e623}">
          <xlrd:rvb i="745"/>
        </ext>
      </extLst>
    </bk>
    <bk>
      <extLst>
        <ext uri="{3e2802c4-a4d2-4d8b-9148-e3be6c30e623}">
          <xlrd:rvb i="761"/>
        </ext>
      </extLst>
    </bk>
    <bk>
      <extLst>
        <ext uri="{3e2802c4-a4d2-4d8b-9148-e3be6c30e623}">
          <xlrd:rvb i="774"/>
        </ext>
      </extLst>
    </bk>
    <bk>
      <extLst>
        <ext uri="{3e2802c4-a4d2-4d8b-9148-e3be6c30e623}">
          <xlrd:rvb i="787"/>
        </ext>
      </extLst>
    </bk>
    <bk>
      <extLst>
        <ext uri="{3e2802c4-a4d2-4d8b-9148-e3be6c30e623}">
          <xlrd:rvb i="799"/>
        </ext>
      </extLst>
    </bk>
    <bk>
      <extLst>
        <ext uri="{3e2802c4-a4d2-4d8b-9148-e3be6c30e623}">
          <xlrd:rvb i="813"/>
        </ext>
      </extLst>
    </bk>
    <bk>
      <extLst>
        <ext uri="{3e2802c4-a4d2-4d8b-9148-e3be6c30e623}">
          <xlrd:rvb i="825"/>
        </ext>
      </extLst>
    </bk>
    <bk>
      <extLst>
        <ext uri="{3e2802c4-a4d2-4d8b-9148-e3be6c30e623}">
          <xlrd:rvb i="839"/>
        </ext>
      </extLst>
    </bk>
    <bk>
      <extLst>
        <ext uri="{3e2802c4-a4d2-4d8b-9148-e3be6c30e623}">
          <xlrd:rvb i="848"/>
        </ext>
      </extLst>
    </bk>
    <bk>
      <extLst>
        <ext uri="{3e2802c4-a4d2-4d8b-9148-e3be6c30e623}">
          <xlrd:rvb i="862"/>
        </ext>
      </extLst>
    </bk>
    <bk>
      <extLst>
        <ext uri="{3e2802c4-a4d2-4d8b-9148-e3be6c30e623}">
          <xlrd:rvb i="872"/>
        </ext>
      </extLst>
    </bk>
    <bk>
      <extLst>
        <ext uri="{3e2802c4-a4d2-4d8b-9148-e3be6c30e623}">
          <xlrd:rvb i="887"/>
        </ext>
      </extLst>
    </bk>
    <bk>
      <extLst>
        <ext uri="{3e2802c4-a4d2-4d8b-9148-e3be6c30e623}">
          <xlrd:rvb i="898"/>
        </ext>
      </extLst>
    </bk>
    <bk>
      <extLst>
        <ext uri="{3e2802c4-a4d2-4d8b-9148-e3be6c30e623}">
          <xlrd:rvb i="914"/>
        </ext>
      </extLst>
    </bk>
    <bk>
      <extLst>
        <ext uri="{3e2802c4-a4d2-4d8b-9148-e3be6c30e623}">
          <xlrd:rvb i="925"/>
        </ext>
      </extLst>
    </bk>
    <bk>
      <extLst>
        <ext uri="{3e2802c4-a4d2-4d8b-9148-e3be6c30e623}">
          <xlrd:rvb i="940"/>
        </ext>
      </extLst>
    </bk>
    <bk>
      <extLst>
        <ext uri="{3e2802c4-a4d2-4d8b-9148-e3be6c30e623}">
          <xlrd:rvb i="950"/>
        </ext>
      </extLst>
    </bk>
    <bk>
      <extLst>
        <ext uri="{3e2802c4-a4d2-4d8b-9148-e3be6c30e623}">
          <xlrd:rvb i="964"/>
        </ext>
      </extLst>
    </bk>
    <bk>
      <extLst>
        <ext uri="{3e2802c4-a4d2-4d8b-9148-e3be6c30e623}">
          <xlrd:rvb i="976"/>
        </ext>
      </extLst>
    </bk>
    <bk>
      <extLst>
        <ext uri="{3e2802c4-a4d2-4d8b-9148-e3be6c30e623}">
          <xlrd:rvb i="992"/>
        </ext>
      </extLst>
    </bk>
    <bk>
      <extLst>
        <ext uri="{3e2802c4-a4d2-4d8b-9148-e3be6c30e623}">
          <xlrd:rvb i="1001"/>
        </ext>
      </extLst>
    </bk>
    <bk>
      <extLst>
        <ext uri="{3e2802c4-a4d2-4d8b-9148-e3be6c30e623}">
          <xlrd:rvb i="1015"/>
        </ext>
      </extLst>
    </bk>
    <bk>
      <extLst>
        <ext uri="{3e2802c4-a4d2-4d8b-9148-e3be6c30e623}">
          <xlrd:rvb i="1026"/>
        </ext>
      </extLst>
    </bk>
    <bk>
      <extLst>
        <ext uri="{3e2802c4-a4d2-4d8b-9148-e3be6c30e623}">
          <xlrd:rvb i="1040"/>
        </ext>
      </extLst>
    </bk>
    <bk>
      <extLst>
        <ext uri="{3e2802c4-a4d2-4d8b-9148-e3be6c30e623}">
          <xlrd:rvb i="1050"/>
        </ext>
      </extLst>
    </bk>
    <bk>
      <extLst>
        <ext uri="{3e2802c4-a4d2-4d8b-9148-e3be6c30e623}">
          <xlrd:rvb i="1065"/>
        </ext>
      </extLst>
    </bk>
    <bk>
      <extLst>
        <ext uri="{3e2802c4-a4d2-4d8b-9148-e3be6c30e623}">
          <xlrd:rvb i="1075"/>
        </ext>
      </extLst>
    </bk>
    <bk>
      <extLst>
        <ext uri="{3e2802c4-a4d2-4d8b-9148-e3be6c30e623}">
          <xlrd:rvb i="1091"/>
        </ext>
      </extLst>
    </bk>
    <bk>
      <extLst>
        <ext uri="{3e2802c4-a4d2-4d8b-9148-e3be6c30e623}">
          <xlrd:rvb i="1100"/>
        </ext>
      </extLst>
    </bk>
    <bk>
      <extLst>
        <ext uri="{3e2802c4-a4d2-4d8b-9148-e3be6c30e623}">
          <xlrd:rvb i="1113"/>
        </ext>
      </extLst>
    </bk>
    <bk>
      <extLst>
        <ext uri="{3e2802c4-a4d2-4d8b-9148-e3be6c30e623}">
          <xlrd:rvb i="1122"/>
        </ext>
      </extLst>
    </bk>
    <bk>
      <extLst>
        <ext uri="{3e2802c4-a4d2-4d8b-9148-e3be6c30e623}">
          <xlrd:rvb i="1138"/>
        </ext>
      </extLst>
    </bk>
    <bk>
      <extLst>
        <ext uri="{3e2802c4-a4d2-4d8b-9148-e3be6c30e623}">
          <xlrd:rvb i="1148"/>
        </ext>
      </extLst>
    </bk>
    <bk>
      <extLst>
        <ext uri="{3e2802c4-a4d2-4d8b-9148-e3be6c30e623}">
          <xlrd:rvb i="1162"/>
        </ext>
      </extLst>
    </bk>
    <bk>
      <extLst>
        <ext uri="{3e2802c4-a4d2-4d8b-9148-e3be6c30e623}">
          <xlrd:rvb i="1174"/>
        </ext>
      </extLst>
    </bk>
    <bk>
      <extLst>
        <ext uri="{3e2802c4-a4d2-4d8b-9148-e3be6c30e623}">
          <xlrd:rvb i="1188"/>
        </ext>
      </extLst>
    </bk>
    <bk>
      <extLst>
        <ext uri="{3e2802c4-a4d2-4d8b-9148-e3be6c30e623}">
          <xlrd:rvb i="1198"/>
        </ext>
      </extLst>
    </bk>
    <bk>
      <extLst>
        <ext uri="{3e2802c4-a4d2-4d8b-9148-e3be6c30e623}">
          <xlrd:rvb i="1213"/>
        </ext>
      </extLst>
    </bk>
    <bk>
      <extLst>
        <ext uri="{3e2802c4-a4d2-4d8b-9148-e3be6c30e623}">
          <xlrd:rvb i="1222"/>
        </ext>
      </extLst>
    </bk>
    <bk>
      <extLst>
        <ext uri="{3e2802c4-a4d2-4d8b-9148-e3be6c30e623}">
          <xlrd:rvb i="1234"/>
        </ext>
      </extLst>
    </bk>
    <bk>
      <extLst>
        <ext uri="{3e2802c4-a4d2-4d8b-9148-e3be6c30e623}">
          <xlrd:rvb i="1246"/>
        </ext>
      </extLst>
    </bk>
    <bk>
      <extLst>
        <ext uri="{3e2802c4-a4d2-4d8b-9148-e3be6c30e623}">
          <xlrd:rvb i="1262"/>
        </ext>
      </extLst>
    </bk>
    <bk>
      <extLst>
        <ext uri="{3e2802c4-a4d2-4d8b-9148-e3be6c30e623}">
          <xlrd:rvb i="1273"/>
        </ext>
      </extLst>
    </bk>
    <bk>
      <extLst>
        <ext uri="{3e2802c4-a4d2-4d8b-9148-e3be6c30e623}">
          <xlrd:rvb i="1287"/>
        </ext>
      </extLst>
    </bk>
    <bk>
      <extLst>
        <ext uri="{3e2802c4-a4d2-4d8b-9148-e3be6c30e623}">
          <xlrd:rvb i="1297"/>
        </ext>
      </extLst>
    </bk>
    <bk>
      <extLst>
        <ext uri="{3e2802c4-a4d2-4d8b-9148-e3be6c30e623}">
          <xlrd:rvb i="1310"/>
        </ext>
      </extLst>
    </bk>
  </futureMetadata>
  <cellMetadata count="1">
    <bk>
      <rc t="1" v="0"/>
    </bk>
  </cellMetadata>
  <valueMetadata count="96">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valueMetadata>
</metadata>
</file>

<file path=xl/sharedStrings.xml><?xml version="1.0" encoding="utf-8"?>
<sst xmlns="http://schemas.openxmlformats.org/spreadsheetml/2006/main" count="3942" uniqueCount="87">
  <si>
    <t>Alabama</t>
  </si>
  <si>
    <t>Arizona</t>
  </si>
  <si>
    <t>Arkansas</t>
  </si>
  <si>
    <t>California</t>
  </si>
  <si>
    <t>Colorado</t>
  </si>
  <si>
    <t>Connecticut</t>
  </si>
  <si>
    <t>Delaware</t>
  </si>
  <si>
    <t>Florida</t>
  </si>
  <si>
    <t>Georgia</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</si>
  <si>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</si>
  <si>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</si>
  <si>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</si>
  <si>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</si>
  <si>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</si>
  <si>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</si>
  <si>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</si>
  <si>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</si>
  <si>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</si>
  <si>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</si>
  <si>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</si>
  <si>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</si>
  <si>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</si>
  <si>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</si>
  <si>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</si>
  <si>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</si>
  <si>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</si>
  <si>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</si>
  <si>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</si>
  <si>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</si>
  <si>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</si>
  <si>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</si>
  <si>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</si>
  <si>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</si>
  <si>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</si>
  <si>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</si>
  <si>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</si>
  <si>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</si>
  <si>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</si>
  <si>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</si>
  <si>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</si>
  <si>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</si>
  <si>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</si>
  <si>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</si>
  <si>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</si>
  <si>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</si>
  <si>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</si>
  <si>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</si>
  <si>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</si>
  <si>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Año</t>
  </si>
  <si>
    <t>Industria</t>
  </si>
  <si>
    <t>Estado</t>
  </si>
  <si>
    <t>Establecimientos</t>
  </si>
  <si>
    <t>Empleados</t>
  </si>
  <si>
    <t>Salario anual promedio</t>
  </si>
  <si>
    <t>Educación</t>
  </si>
  <si>
    <t>Energía</t>
  </si>
  <si>
    <t>Logística</t>
  </si>
  <si>
    <t>Comercio electrónico</t>
  </si>
  <si>
    <t>Transporte</t>
  </si>
  <si>
    <t>Comunicación</t>
  </si>
  <si>
    <t>Finanzas</t>
  </si>
  <si>
    <t>Negocios</t>
  </si>
  <si>
    <t>Salud</t>
  </si>
  <si>
    <t>Tecnología</t>
  </si>
  <si>
    <t>FILTRO INDUSTRIA</t>
  </si>
  <si>
    <t>SALARIO MEDIO POR INDUSTRIA</t>
  </si>
  <si>
    <t>EMPLEADOS POR INDUSTRIA</t>
  </si>
  <si>
    <t>EMPLEADOS POR INDUSTRIA (LIMPIO)</t>
  </si>
  <si>
    <t>FILTRO FECHA</t>
  </si>
  <si>
    <t>FILTRO MAPA</t>
  </si>
  <si>
    <t>Seleccion</t>
  </si>
  <si>
    <t>TENDECIAS SALARIOS Y EMPLEADOS</t>
  </si>
  <si>
    <t>PORCENTAJE</t>
  </si>
  <si>
    <t>INDUSTRIA</t>
  </si>
  <si>
    <t>SELECCIÓN</t>
  </si>
  <si>
    <t>EMPLEADOS</t>
  </si>
  <si>
    <t>AÑO</t>
  </si>
  <si>
    <t>SALARIO PROMEDIO</t>
  </si>
  <si>
    <t>METRICA</t>
  </si>
  <si>
    <t>AÑO ACTUAL:</t>
  </si>
  <si>
    <t>Salario promedio annual</t>
  </si>
  <si>
    <t>Otros</t>
  </si>
  <si>
    <t>Poblacion</t>
  </si>
  <si>
    <t>Empleados por 100 capita</t>
  </si>
  <si>
    <t>Salario promedio</t>
  </si>
  <si>
    <t>Comparacion por estado</t>
  </si>
  <si>
    <t>Indice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</si>
</sst>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0.000;&quot;$&quot;#,##0.000"/>
  </numFmts>
  <fonts count="10" x14ac:knownFonts="1">
    <font>
      <sz val="11"/>
      <color theme="1"/>
      <name val="Calibri"/>
      <family val="2"/>
      <scheme val="minor"/>
    </font>
    <font>
      <b/>
      <sz val="11"/>
      <color theme="1"/>
      <name val="Calibri"/>
      <family val="2"/>
      <scheme val="minor"/>
    </font>
    <font>
      <b/>
      <sz val="22"/>
      <color theme="1" tint="0.249977111117893"/>
      <name val="Calibri"/>
      <family val="2"/>
      <scheme val="minor"/>
    </font>
    <font>
      <sz val="22"/>
      <color theme="1"/>
      <name val="Calibri"/>
      <family val="2"/>
      <scheme val="minor"/>
    </font>
    <font>
      <sz val="11"/>
      <color theme="0"/>
      <name val="Calibri"/>
      <family val="2"/>
      <scheme val="minor"/>
    </font>
    <font>
      <sz val="11"/>
      <color theme="1"/>
      <name val="Calibri"/>
      <family val="2"/>
      <scheme val="minor"/>
    </font>
    <font>
      <b/>
      <sz val="11"/>
      <color theme="0"/>
      <name val="Calibri"/>
      <family val="2"/>
      <scheme val="minor"/>
    </font>
    <font>
      <b/>
      <sz val="12"/>
      <color theme="0"/>
      <name val="Calibri"/>
      <family val="2"/>
      <scheme val="minor"/>
    </font>
    <font>
      <sz val="8"/>
      <color rgb="FF000000"/>
      <name val="Segoe UI"/>
      <family val="2"/>
    </font>
    <font>
      <sz val="14"/>
      <color theme="0"/>
      <name val="Calibri"/>
      <family val="2"/>
      <scheme val="minor"/>
    </font>
  </fonts>
  <fills count="8">
    <fill>
      <patternFill patternType="none"/>
    </fill>
    <fill>
      <patternFill patternType="gray125"/>
    </fill>
    <fill>
      <patternFill patternType="solid">
        <fgColor theme="3" tint="0.79998168889431442"/>
        <bgColor indexed="64"/>
      </patternFill>
    </fill>
    <fill>
      <patternFill patternType="solid">
        <fgColor theme="7" tint="0.79998168889431442"/>
        <bgColor indexed="64"/>
      </patternFill>
    </fill>
    <fill>
      <patternFill patternType="solid">
        <fgColor theme="7" tint="0.39997558519241921"/>
        <bgColor indexed="65"/>
      </patternFill>
    </fill>
    <fill>
      <patternFill patternType="solid">
        <fgColor theme="8"/>
      </patternFill>
    </fill>
    <fill>
      <patternFill patternType="solid">
        <fgColor theme="8" tint="0.59999389629810485"/>
        <bgColor indexed="65"/>
      </patternFill>
    </fill>
    <fill>
      <patternFill patternType="solid">
        <fgColor theme="9" tint="0.39997558519241921"/>
        <bgColor indexed="65"/>
      </patternFill>
    </fill>
  </fills>
  <borders count="1">
    <border>
      <left/>
      <right/>
      <top/>
      <bottom/>
      <diagonal/>
    </border>
  </borders>
  <cellStyleXfs count="6">
    <xf numFmtId="0" fontId="0" fillId="0" borderId="0"/>
    <xf numFmtId="0" fontId="5" fillId="4" borderId="0" applyNumberFormat="0" applyBorder="0" applyAlignment="0" applyProtection="0"/>
    <xf numFmtId="0" fontId="4" fillId="5" borderId="0" applyNumberFormat="0" applyBorder="0" applyAlignment="0" applyProtection="0"/>
    <xf numFmtId="0" fontId="5" fillId="6" borderId="0" applyNumberFormat="0" applyBorder="0" applyAlignment="0" applyProtection="0"/>
    <xf numFmtId="0" fontId="5" fillId="7" borderId="0" applyNumberFormat="0" applyBorder="0" applyAlignment="0" applyProtection="0"/>
    <xf numFmtId="9" fontId="5" fillId="0" borderId="0" applyFont="0" applyFill="0" applyBorder="0" applyAlignment="0" applyProtection="0"/>
  </cellStyleXfs>
  <cellXfs count="28">
    <xf numFmtId="0" fontId="0" fillId="0" borderId="0" xfId="0"/>
    <xf numFmtId="3" fontId="0" fillId="0" borderId="0" xfId="0" applyNumberFormat="1"/>
    <xf numFmtId="164" fontId="0" fillId="0" borderId="0" xfId="0" applyNumberFormat="1"/>
    <xf numFmtId="0" fontId="1" fillId="2" borderId="0" xfId="0" applyFont="1" applyFill="1"/>
    <xf numFmtId="0" fontId="2" fillId="3" borderId="0" xfId="0" applyFont="1" applyFill="1" applyAlignment="1">
      <alignment horizontal="center"/>
    </xf>
    <xf numFmtId="0" fontId="3" fillId="0" borderId="0" xfId="0" applyFont="1"/>
    <xf numFmtId="0" fontId="1" fillId="0" borderId="0" xfId="0" applyFont="1"/>
    <xf numFmtId="0" fontId="5" fillId="6" borderId="0" xfId="3"/>
    <xf numFmtId="0" fontId="1" fillId="7" borderId="0" xfId="4" applyFont="1"/>
    <xf numFmtId="0" fontId="1" fillId="7" borderId="0" xfId="4" applyFont="1" applyAlignment="1">
      <alignment horizontal="center"/>
    </xf>
    <xf numFmtId="0" fontId="5" fillId="4" borderId="0" xfId="1"/>
    <xf numFmtId="0" fontId="1" fillId="7" borderId="0" xfId="4" applyFont="1" applyAlignment="1"/>
    <xf numFmtId="0" fontId="7" fillId="5" borderId="0" xfId="2" applyFont="1" applyAlignment="1">
      <alignment horizontal="center"/>
    </xf>
    <xf numFmtId="1" fontId="0" fillId="0" borderId="0" xfId="0" applyNumberFormat="1"/>
    <xf numFmtId="165" fontId="0" fillId="0" borderId="0" xfId="0" applyNumberFormat="1"/>
    <xf numFmtId="3" fontId="0" fillId="0" borderId="0" xfId="0" applyNumberFormat="1" applyAlignment="1">
      <alignment horizontal="center"/>
    </xf>
    <xf numFmtId="9" fontId="0" fillId="0" borderId="0" xfId="5" applyFont="1" applyAlignment="1">
      <alignment horizontal="center"/>
    </xf>
    <xf numFmtId="0" fontId="4" fillId="5" borderId="0" xfId="2" applyAlignment="1">
      <alignment horizontal="center"/>
    </xf>
    <xf numFmtId="9" fontId="0" fillId="0" borderId="0" xfId="5" applyFont="1" applyAlignment="1">
      <alignment horizontal="center"/>
    </xf>
    <xf numFmtId="3" fontId="0" fillId="0" borderId="0" xfId="0" applyNumberFormat="1" applyAlignment="1">
      <alignment horizontal="center"/>
    </xf>
    <xf numFmtId="0" fontId="1" fillId="7" borderId="0" xfId="4" applyFont="1" applyAlignment="1">
      <alignment horizontal="center"/>
    </xf>
    <xf numFmtId="0" fontId="7" fillId="5" borderId="0" xfId="2" applyFont="1" applyAlignment="1">
      <alignment horizontal="center"/>
    </xf>
    <xf numFmtId="0" fontId="6" fillId="5" borderId="0" xfId="2" applyFont="1" applyAlignment="1">
      <alignment horizontal="center"/>
    </xf>
    <xf numFmtId="0" fontId="7" fillId="0" borderId="0" xfId="0" applyFont="1" applyAlignment="1">
      <alignment horizontal="left" vertical="top"/>
    </xf>
    <xf numFmtId="0" fontId="9" fillId="0" borderId="0" xfId="0" applyFont="1" applyAlignment="1">
      <alignment horizontal="left"/>
    </xf>
    <xf numFmtId="0" fontId="6" fillId="0" borderId="0" xfId="2" applyFont="1" applyFill="1" applyAlignment="1">
      <alignment horizontal="center"/>
    </xf>
    <xf numFmtId="0" fontId="1" fillId="0" borderId="0" xfId="4" applyFont="1" applyFill="1" applyAlignment="1">
      <alignment horizontal="center"/>
    </xf>
    <xf numFmtId="0" fontId="6" fillId="0" borderId="0" xfId="0" applyFont="1" applyFill="1" applyAlignment="1">
      <alignment horizontal="center"/>
    </xf>
  </cellXfs>
  <cellStyles count="6">
    <cellStyle name="40% - Énfasis5" xfId="3" builtinId="47"/>
    <cellStyle name="60% - Énfasis4" xfId="1" builtinId="44"/>
    <cellStyle name="60% - Énfasis6" xfId="4" builtinId="52"/>
    <cellStyle name="Énfasis5" xfId="2" builtinId="45"/>
    <cellStyle name="Normal" xfId="0" builtinId="0"/>
    <cellStyle name="Porcentaje" xfId="5" builtinId="5"/>
  </cellStyles>
  <dxfs count="0"/>
  <tableStyles count="0" defaultTableStyle="TableStyleMedium2" defaultPivotStyle="PivotStyleLight16"/>
  <colors>
    <mruColors>
      <color rgb="FF269999"/>
      <color rgb="FFEE0000"/>
      <color rgb="FFB2DBD5"/>
      <color rgb="FFFF745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13" Type="http://schemas.microsoft.com/office/2017/06/relationships/richStyles" Target="richData/richStyles.xml"/><Relationship Id="rId3" Type="http://schemas.openxmlformats.org/officeDocument/2006/relationships/worksheet" Target="worksheets/sheet3.xml"/><Relationship Id="rId7" Type="http://schemas.openxmlformats.org/officeDocument/2006/relationships/sharedStrings" Target="sharedStrings.xml"/><Relationship Id="rId12" Type="http://schemas.microsoft.com/office/2017/06/relationships/rdArray" Target="richData/rdarray.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styles" Target="styles.xml"/><Relationship Id="rId11" Type="http://schemas.microsoft.com/office/2017/06/relationships/rdRichValueStructure" Target="richData/rdrichvaluestructure.xml"/><Relationship Id="rId5" Type="http://schemas.openxmlformats.org/officeDocument/2006/relationships/theme" Target="theme/theme1.xml"/><Relationship Id="rId15" Type="http://schemas.microsoft.com/office/2017/06/relationships/rdSupportingPropertyBag" Target="richData/rdsupportingpropertybag.xml"/><Relationship Id="rId10" Type="http://schemas.microsoft.com/office/2017/06/relationships/rdRichValue" Target="richData/rdrichvalue.xml"/><Relationship Id="rId4" Type="http://schemas.openxmlformats.org/officeDocument/2006/relationships/worksheet" Target="worksheets/sheet4.xml"/><Relationship Id="rId9" Type="http://schemas.microsoft.com/office/2020/07/relationships/rdRichValueWebImage" Target="richData/rdRichValueWebImage.xml"/><Relationship Id="rId14" Type="http://schemas.microsoft.com/office/2017/06/relationships/rdSupportingPropertyBagStructure" Target="richData/rdsupportingpropertybagstructur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1226346202692407"/>
          <c:y val="9.9701272255535267E-2"/>
          <c:w val="0.60885562187791042"/>
          <c:h val="0.86681311287726892"/>
        </c:manualLayout>
      </c:layout>
      <c:barChart>
        <c:barDir val="bar"/>
        <c:grouping val="clustered"/>
        <c:varyColors val="0"/>
        <c:ser>
          <c:idx val="0"/>
          <c:order val="0"/>
          <c:tx>
            <c:strRef>
              <c:f>Tablas!$F$2</c:f>
              <c:strCache>
                <c:ptCount val="1"/>
                <c:pt idx="0">
                  <c:v>Salario promedio annual</c:v>
                </c:pt>
              </c:strCache>
            </c:strRef>
          </c:tx>
          <c:spPr>
            <a:solidFill>
              <a:schemeClr val="accent1"/>
            </a:solidFill>
            <a:ln>
              <a:noFill/>
            </a:ln>
            <a:effectLst/>
          </c:spPr>
          <c:invertIfNegative val="0"/>
          <c:cat>
            <c:strRef>
              <c:f>Tablas!$E$3:$E$12</c:f>
              <c:strCache>
                <c:ptCount val="10"/>
                <c:pt idx="0">
                  <c:v>Comercio electrónico</c:v>
                </c:pt>
                <c:pt idx="1">
                  <c:v>Comunicación</c:v>
                </c:pt>
                <c:pt idx="2">
                  <c:v>Educación</c:v>
                </c:pt>
                <c:pt idx="3">
                  <c:v>Energía</c:v>
                </c:pt>
                <c:pt idx="4">
                  <c:v>Finanzas</c:v>
                </c:pt>
                <c:pt idx="5">
                  <c:v>Logística</c:v>
                </c:pt>
                <c:pt idx="6">
                  <c:v>Negocios</c:v>
                </c:pt>
                <c:pt idx="7">
                  <c:v>Salud</c:v>
                </c:pt>
                <c:pt idx="8">
                  <c:v>Tecnología</c:v>
                </c:pt>
                <c:pt idx="9">
                  <c:v>Transporte</c:v>
                </c:pt>
              </c:strCache>
            </c:strRef>
          </c:cat>
          <c:val>
            <c:numRef>
              <c:f>Tablas!$F$3:$F$12</c:f>
              <c:numCache>
                <c:formatCode>"$"#,##0</c:formatCode>
                <c:ptCount val="10"/>
                <c:pt idx="0">
                  <c:v>62625.291666666664</c:v>
                </c:pt>
                <c:pt idx="1">
                  <c:v>75580.708333333328</c:v>
                </c:pt>
                <c:pt idx="2">
                  <c:v>20737.416666666668</c:v>
                </c:pt>
                <c:pt idx="3">
                  <c:v>51626.702127659577</c:v>
                </c:pt>
                <c:pt idx="4">
                  <c:v>77330.083333333328</c:v>
                </c:pt>
                <c:pt idx="5">
                  <c:v>57353.829787234041</c:v>
                </c:pt>
                <c:pt idx="6">
                  <c:v>64714.4375</c:v>
                </c:pt>
                <c:pt idx="7">
                  <c:v>47654.729166666664</c:v>
                </c:pt>
                <c:pt idx="8">
                  <c:v>34629.270833333336</c:v>
                </c:pt>
                <c:pt idx="9">
                  <c:v>43391.395833333336</c:v>
                </c:pt>
              </c:numCache>
            </c:numRef>
          </c:val>
          <c:extLst>
            <c:ext xmlns:c16="http://schemas.microsoft.com/office/drawing/2014/chart" uri="{C3380CC4-5D6E-409C-BE32-E72D297353CC}">
              <c16:uniqueId val="{00000000-E63D-4E15-A5A0-1109434B9EFA}"/>
            </c:ext>
          </c:extLst>
        </c:ser>
        <c:dLbls>
          <c:showLegendKey val="0"/>
          <c:showVal val="0"/>
          <c:showCatName val="0"/>
          <c:showSerName val="0"/>
          <c:showPercent val="0"/>
          <c:showBubbleSize val="0"/>
        </c:dLbls>
        <c:gapWidth val="80"/>
        <c:axId val="687097728"/>
        <c:axId val="687086208"/>
      </c:barChart>
      <c:catAx>
        <c:axId val="68709772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DO"/>
          </a:p>
        </c:txPr>
        <c:crossAx val="687086208"/>
        <c:crosses val="autoZero"/>
        <c:auto val="1"/>
        <c:lblAlgn val="ctr"/>
        <c:lblOffset val="100"/>
        <c:noMultiLvlLbl val="0"/>
      </c:catAx>
      <c:valAx>
        <c:axId val="687086208"/>
        <c:scaling>
          <c:orientation val="minMax"/>
        </c:scaling>
        <c:delete val="0"/>
        <c:axPos val="t"/>
        <c:numFmt formatCode="&quot;$&quot;#,##0,\ &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DO"/>
          </a:p>
        </c:txPr>
        <c:crossAx val="6870977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s-D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4216387573508517E-2"/>
          <c:y val="0.16884441031105271"/>
          <c:w val="0.65894740035680033"/>
          <c:h val="0.6499921877528323"/>
        </c:manualLayout>
      </c:layout>
      <c:doughnutChart>
        <c:varyColors val="1"/>
        <c:ser>
          <c:idx val="0"/>
          <c:order val="0"/>
          <c:spPr>
            <a:solidFill>
              <a:schemeClr val="accent2"/>
            </a:solidFill>
          </c:spPr>
          <c:dPt>
            <c:idx val="0"/>
            <c:bubble3D val="0"/>
            <c:spPr>
              <a:solidFill>
                <a:schemeClr val="accent2"/>
              </a:solidFill>
              <a:ln w="19050">
                <a:solidFill>
                  <a:schemeClr val="lt1"/>
                </a:solidFill>
              </a:ln>
              <a:effectLst/>
            </c:spPr>
            <c:extLst>
              <c:ext xmlns:c16="http://schemas.microsoft.com/office/drawing/2014/chart" uri="{C3380CC4-5D6E-409C-BE32-E72D297353CC}">
                <c16:uniqueId val="{00000001-DC58-46C0-A7A5-9C40327B40B2}"/>
              </c:ext>
            </c:extLst>
          </c:dPt>
          <c:dPt>
            <c:idx val="1"/>
            <c:bubble3D val="0"/>
            <c:spPr>
              <a:solidFill>
                <a:schemeClr val="bg1">
                  <a:lumMod val="65000"/>
                </a:schemeClr>
              </a:solidFill>
              <a:ln w="19050">
                <a:solidFill>
                  <a:schemeClr val="lt1"/>
                </a:solidFill>
              </a:ln>
              <a:effectLst/>
            </c:spPr>
            <c:extLst>
              <c:ext xmlns:c16="http://schemas.microsoft.com/office/drawing/2014/chart" uri="{C3380CC4-5D6E-409C-BE32-E72D297353CC}">
                <c16:uniqueId val="{00000002-1D29-4486-8872-7A43B559E3F6}"/>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s-DO"/>
              </a:p>
            </c:txPr>
            <c:showLegendKey val="0"/>
            <c:showVal val="0"/>
            <c:showCatName val="0"/>
            <c:showSerName val="0"/>
            <c:showPercent val="1"/>
            <c:showBubbleSize val="0"/>
            <c:showLeaderLines val="0"/>
            <c:extLst>
              <c:ext xmlns:c15="http://schemas.microsoft.com/office/drawing/2012/chart" uri="{CE6537A1-D6FC-4f65-9D91-7224C49458BB}"/>
            </c:extLst>
          </c:dLbls>
          <c:cat>
            <c:strRef>
              <c:f>Tablas!$I$19:$I$20</c:f>
              <c:strCache>
                <c:ptCount val="2"/>
                <c:pt idx="0">
                  <c:v>Finanzas</c:v>
                </c:pt>
                <c:pt idx="1">
                  <c:v>Otros</c:v>
                </c:pt>
              </c:strCache>
            </c:strRef>
          </c:cat>
          <c:val>
            <c:numRef>
              <c:f>Tablas!$J$19:$J$20</c:f>
              <c:numCache>
                <c:formatCode>#,##0</c:formatCode>
                <c:ptCount val="2"/>
                <c:pt idx="0">
                  <c:v>8021586</c:v>
                </c:pt>
                <c:pt idx="1">
                  <c:v>112825763</c:v>
                </c:pt>
              </c:numCache>
            </c:numRef>
          </c:val>
          <c:extLst>
            <c:ext xmlns:c16="http://schemas.microsoft.com/office/drawing/2014/chart" uri="{C3380CC4-5D6E-409C-BE32-E72D297353CC}">
              <c16:uniqueId val="{00000000-1D29-4486-8872-7A43B559E3F6}"/>
            </c:ext>
          </c:extLst>
        </c:ser>
        <c:ser>
          <c:idx val="1"/>
          <c:order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5-DC58-46C0-A7A5-9C40327B40B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DC58-46C0-A7A5-9C40327B40B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DO"/>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Tablas!$I$19:$I$20</c:f>
              <c:strCache>
                <c:ptCount val="2"/>
                <c:pt idx="0">
                  <c:v>Finanzas</c:v>
                </c:pt>
                <c:pt idx="1">
                  <c:v>Otros</c:v>
                </c:pt>
              </c:strCache>
            </c:strRef>
          </c:cat>
          <c:val>
            <c:numRef>
              <c:f>Tablas!$K$19:$K$20</c:f>
              <c:numCache>
                <c:formatCode>#,##0</c:formatCode>
                <c:ptCount val="2"/>
              </c:numCache>
            </c:numRef>
          </c:val>
          <c:extLst>
            <c:ext xmlns:c16="http://schemas.microsoft.com/office/drawing/2014/chart" uri="{C3380CC4-5D6E-409C-BE32-E72D297353CC}">
              <c16:uniqueId val="{00000001-1D29-4486-8872-7A43B559E3F6}"/>
            </c:ext>
          </c:extLst>
        </c:ser>
        <c:dLbls>
          <c:showLegendKey val="0"/>
          <c:showVal val="1"/>
          <c:showCatName val="0"/>
          <c:showSerName val="0"/>
          <c:showPercent val="0"/>
          <c:showBubbleSize val="0"/>
          <c:showLeaderLines val="0"/>
        </c:dLbls>
        <c:firstSliceAng val="0"/>
        <c:holeSize val="52"/>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s-D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DO"/>
        </a:p>
      </c:txPr>
    </c:title>
    <c:autoTitleDeleted val="0"/>
    <c:plotArea>
      <c:layout/>
      <c:barChart>
        <c:barDir val="col"/>
        <c:grouping val="clustered"/>
        <c:varyColors val="0"/>
        <c:ser>
          <c:idx val="2"/>
          <c:order val="1"/>
          <c:tx>
            <c:strRef>
              <c:f>Tablas!$P$2</c:f>
              <c:strCache>
                <c:ptCount val="1"/>
                <c:pt idx="0">
                  <c:v>EMPLEADOS</c:v>
                </c:pt>
              </c:strCache>
            </c:strRef>
          </c:tx>
          <c:spPr>
            <a:solidFill>
              <a:schemeClr val="accent3"/>
            </a:solidFill>
            <a:ln>
              <a:noFill/>
            </a:ln>
            <a:effectLst/>
          </c:spPr>
          <c:invertIfNegative val="0"/>
          <c:val>
            <c:numRef>
              <c:f>Tablas!$P$3:$P$6</c:f>
              <c:numCache>
                <c:formatCode>#,##0</c:formatCode>
                <c:ptCount val="4"/>
                <c:pt idx="0">
                  <c:v>8021586</c:v>
                </c:pt>
                <c:pt idx="1">
                  <c:v>8120224</c:v>
                </c:pt>
                <c:pt idx="2">
                  <c:v>8251469</c:v>
                </c:pt>
                <c:pt idx="3">
                  <c:v>8142043</c:v>
                </c:pt>
              </c:numCache>
            </c:numRef>
          </c:val>
          <c:extLst>
            <c:ext xmlns:c16="http://schemas.microsoft.com/office/drawing/2014/chart" uri="{C3380CC4-5D6E-409C-BE32-E72D297353CC}">
              <c16:uniqueId val="{00000002-D5AA-43C4-8395-42D3805E53BE}"/>
            </c:ext>
          </c:extLst>
        </c:ser>
        <c:dLbls>
          <c:showLegendKey val="0"/>
          <c:showVal val="0"/>
          <c:showCatName val="0"/>
          <c:showSerName val="0"/>
          <c:showPercent val="0"/>
          <c:showBubbleSize val="0"/>
        </c:dLbls>
        <c:gapWidth val="150"/>
        <c:axId val="429700704"/>
        <c:axId val="429703584"/>
      </c:barChart>
      <c:lineChart>
        <c:grouping val="standard"/>
        <c:varyColors val="0"/>
        <c:ser>
          <c:idx val="1"/>
          <c:order val="0"/>
          <c:tx>
            <c:strRef>
              <c:f>Tablas!$O$2</c:f>
              <c:strCache>
                <c:ptCount val="1"/>
                <c:pt idx="0">
                  <c:v>SALARIO PROMEDIO</c:v>
                </c:pt>
              </c:strCache>
            </c:strRef>
          </c:tx>
          <c:spPr>
            <a:ln w="28575" cap="rnd">
              <a:solidFill>
                <a:schemeClr val="accent2"/>
              </a:solidFill>
              <a:round/>
            </a:ln>
            <a:effectLst/>
          </c:spPr>
          <c:marker>
            <c:symbol val="none"/>
          </c:marker>
          <c:cat>
            <c:numRef>
              <c:f>Tablas!$N$3:$N$6</c:f>
              <c:numCache>
                <c:formatCode>General</c:formatCode>
                <c:ptCount val="4"/>
                <c:pt idx="0">
                  <c:v>2021</c:v>
                </c:pt>
                <c:pt idx="1">
                  <c:v>2022</c:v>
                </c:pt>
                <c:pt idx="2">
                  <c:v>2023</c:v>
                </c:pt>
                <c:pt idx="3">
                  <c:v>2024</c:v>
                </c:pt>
              </c:numCache>
            </c:numRef>
          </c:cat>
          <c:val>
            <c:numRef>
              <c:f>Tablas!$O$3:$O$6</c:f>
              <c:numCache>
                <c:formatCode>"$"#,##0</c:formatCode>
                <c:ptCount val="4"/>
                <c:pt idx="0">
                  <c:v>77330.083333333328</c:v>
                </c:pt>
                <c:pt idx="1">
                  <c:v>80167.854166666672</c:v>
                </c:pt>
                <c:pt idx="2">
                  <c:v>82837.375</c:v>
                </c:pt>
                <c:pt idx="3">
                  <c:v>90040.666666666672</c:v>
                </c:pt>
              </c:numCache>
            </c:numRef>
          </c:val>
          <c:smooth val="0"/>
          <c:extLst>
            <c:ext xmlns:c16="http://schemas.microsoft.com/office/drawing/2014/chart" uri="{C3380CC4-5D6E-409C-BE32-E72D297353CC}">
              <c16:uniqueId val="{00000001-D5AA-43C4-8395-42D3805E53BE}"/>
            </c:ext>
          </c:extLst>
        </c:ser>
        <c:dLbls>
          <c:showLegendKey val="0"/>
          <c:showVal val="0"/>
          <c:showCatName val="0"/>
          <c:showSerName val="0"/>
          <c:showPercent val="0"/>
          <c:showBubbleSize val="0"/>
        </c:dLbls>
        <c:marker val="1"/>
        <c:smooth val="0"/>
        <c:axId val="532923520"/>
        <c:axId val="532931680"/>
      </c:lineChart>
      <c:catAx>
        <c:axId val="429700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DO"/>
          </a:p>
        </c:txPr>
        <c:crossAx val="429703584"/>
        <c:crosses val="autoZero"/>
        <c:auto val="1"/>
        <c:lblAlgn val="ctr"/>
        <c:lblOffset val="100"/>
        <c:noMultiLvlLbl val="0"/>
      </c:catAx>
      <c:valAx>
        <c:axId val="4297035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DO"/>
          </a:p>
        </c:txPr>
        <c:crossAx val="429700704"/>
        <c:crosses val="autoZero"/>
        <c:crossBetween val="between"/>
      </c:valAx>
      <c:valAx>
        <c:axId val="532931680"/>
        <c:scaling>
          <c:orientation val="minMax"/>
        </c:scaling>
        <c:delete val="0"/>
        <c:axPos val="r"/>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DO"/>
          </a:p>
        </c:txPr>
        <c:crossAx val="532923520"/>
        <c:crosses val="max"/>
        <c:crossBetween val="between"/>
      </c:valAx>
      <c:catAx>
        <c:axId val="532923520"/>
        <c:scaling>
          <c:orientation val="minMax"/>
        </c:scaling>
        <c:delete val="1"/>
        <c:axPos val="b"/>
        <c:numFmt formatCode="General" sourceLinked="1"/>
        <c:majorTickMark val="out"/>
        <c:minorTickMark val="none"/>
        <c:tickLblPos val="nextTo"/>
        <c:crossAx val="53293168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D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D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DO" sz="1200" b="1"/>
              <a:t>Tendencias</a:t>
            </a:r>
            <a:r>
              <a:rPr lang="es-DO" sz="1200" b="1" baseline="0"/>
              <a:t> de </a:t>
            </a:r>
            <a:r>
              <a:rPr lang="es-DO" sz="1200" b="1" baseline="0">
                <a:solidFill>
                  <a:schemeClr val="accent1"/>
                </a:solidFill>
              </a:rPr>
              <a:t>Salario</a:t>
            </a:r>
            <a:r>
              <a:rPr lang="es-DO" sz="1200" b="1" baseline="0"/>
              <a:t> y </a:t>
            </a:r>
            <a:r>
              <a:rPr lang="es-DO" sz="1200" b="1" baseline="0">
                <a:solidFill>
                  <a:schemeClr val="accent2"/>
                </a:solidFill>
              </a:rPr>
              <a:t>Empleo</a:t>
            </a:r>
            <a:endParaRPr lang="es-DO" sz="1200" b="1">
              <a:solidFill>
                <a:schemeClr val="accent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DO"/>
        </a:p>
      </c:txPr>
    </c:title>
    <c:autoTitleDeleted val="0"/>
    <c:plotArea>
      <c:layout>
        <c:manualLayout>
          <c:layoutTarget val="inner"/>
          <c:xMode val="edge"/>
          <c:yMode val="edge"/>
          <c:x val="7.2791776027996496E-2"/>
          <c:y val="0.20488104836846216"/>
          <c:w val="0.89665266841644797"/>
          <c:h val="0.74419296277830904"/>
        </c:manualLayout>
      </c:layout>
      <c:lineChart>
        <c:grouping val="standard"/>
        <c:varyColors val="0"/>
        <c:ser>
          <c:idx val="1"/>
          <c:order val="0"/>
          <c:tx>
            <c:strRef>
              <c:f>Tablas!$O$2</c:f>
              <c:strCache>
                <c:ptCount val="1"/>
                <c:pt idx="0">
                  <c:v>SALARIO PROMEDIO</c:v>
                </c:pt>
              </c:strCache>
            </c:strRef>
          </c:tx>
          <c:spPr>
            <a:ln w="28575" cap="rnd">
              <a:solidFill>
                <a:schemeClr val="accent1"/>
              </a:solidFill>
              <a:round/>
            </a:ln>
            <a:effectLst/>
          </c:spPr>
          <c:marker>
            <c:symbol val="circle"/>
            <c:size val="5"/>
            <c:spPr>
              <a:solidFill>
                <a:schemeClr val="bg1"/>
              </a:solidFill>
              <a:ln w="9525">
                <a:solidFill>
                  <a:schemeClr val="accent1"/>
                </a:solidFill>
              </a:ln>
              <a:effectLst/>
            </c:spPr>
          </c:marker>
          <c:dLbls>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s-DO"/>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Tablas!$N$3:$N$6</c:f>
              <c:numCache>
                <c:formatCode>General</c:formatCode>
                <c:ptCount val="4"/>
                <c:pt idx="0">
                  <c:v>2021</c:v>
                </c:pt>
                <c:pt idx="1">
                  <c:v>2022</c:v>
                </c:pt>
                <c:pt idx="2">
                  <c:v>2023</c:v>
                </c:pt>
                <c:pt idx="3">
                  <c:v>2024</c:v>
                </c:pt>
              </c:numCache>
            </c:numRef>
          </c:cat>
          <c:val>
            <c:numRef>
              <c:f>Tablas!$O$3:$O$6</c:f>
              <c:numCache>
                <c:formatCode>"$"#,##0</c:formatCode>
                <c:ptCount val="4"/>
                <c:pt idx="0">
                  <c:v>77330.083333333328</c:v>
                </c:pt>
                <c:pt idx="1">
                  <c:v>80167.854166666672</c:v>
                </c:pt>
                <c:pt idx="2">
                  <c:v>82837.375</c:v>
                </c:pt>
                <c:pt idx="3">
                  <c:v>90040.666666666672</c:v>
                </c:pt>
              </c:numCache>
            </c:numRef>
          </c:val>
          <c:smooth val="0"/>
          <c:extLst>
            <c:ext xmlns:c16="http://schemas.microsoft.com/office/drawing/2014/chart" uri="{C3380CC4-5D6E-409C-BE32-E72D297353CC}">
              <c16:uniqueId val="{00000001-AC4D-4BFF-B8AF-99A869885E1F}"/>
            </c:ext>
          </c:extLst>
        </c:ser>
        <c:dLbls>
          <c:showLegendKey val="0"/>
          <c:showVal val="0"/>
          <c:showCatName val="0"/>
          <c:showSerName val="0"/>
          <c:showPercent val="0"/>
          <c:showBubbleSize val="0"/>
        </c:dLbls>
        <c:marker val="1"/>
        <c:smooth val="0"/>
        <c:axId val="1976286608"/>
        <c:axId val="1976287088"/>
      </c:lineChart>
      <c:catAx>
        <c:axId val="1976286608"/>
        <c:scaling>
          <c:orientation val="minMax"/>
        </c:scaling>
        <c:delete val="1"/>
        <c:axPos val="b"/>
        <c:numFmt formatCode="General" sourceLinked="1"/>
        <c:majorTickMark val="none"/>
        <c:minorTickMark val="none"/>
        <c:tickLblPos val="nextTo"/>
        <c:crossAx val="1976287088"/>
        <c:crosses val="autoZero"/>
        <c:auto val="1"/>
        <c:lblAlgn val="ctr"/>
        <c:lblOffset val="100"/>
        <c:noMultiLvlLbl val="0"/>
      </c:catAx>
      <c:valAx>
        <c:axId val="1976287088"/>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DO"/>
                  <a:t>Salario anual</a:t>
                </a:r>
                <a:r>
                  <a:rPr lang="es-DO" baseline="0"/>
                  <a:t> promedio</a:t>
                </a:r>
                <a:endParaRPr lang="es-DO"/>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DO"/>
            </a:p>
          </c:txPr>
        </c:title>
        <c:numFmt formatCode="&quot;$&quot;#,##0" sourceLinked="1"/>
        <c:majorTickMark val="none"/>
        <c:minorTickMark val="none"/>
        <c:tickLblPos val="nextTo"/>
        <c:crossAx val="1976286608"/>
        <c:crosses val="autoZero"/>
        <c:crossBetween val="between"/>
      </c:valAx>
      <c:spPr>
        <a:noFill/>
        <a:ln w="15875">
          <a:solidFill>
            <a:schemeClr val="bg1"/>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s-DO"/>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1514143094841932E-2"/>
          <c:y val="0.1523545706371191"/>
          <c:w val="0.88630061009428729"/>
          <c:h val="0.69033524549043557"/>
        </c:manualLayout>
      </c:layout>
      <c:barChart>
        <c:barDir val="col"/>
        <c:grouping val="clustered"/>
        <c:varyColors val="0"/>
        <c:ser>
          <c:idx val="1"/>
          <c:order val="0"/>
          <c:tx>
            <c:strRef>
              <c:f>Tablas!$P$2</c:f>
              <c:strCache>
                <c:ptCount val="1"/>
                <c:pt idx="0">
                  <c:v>EMPLEADOS</c:v>
                </c:pt>
              </c:strCache>
            </c:strRef>
          </c:tx>
          <c:spPr>
            <a:solidFill>
              <a:schemeClr val="accent2"/>
            </a:solidFill>
            <a:ln>
              <a:noFill/>
            </a:ln>
            <a:effectLst/>
          </c:spPr>
          <c:invertIfNegative val="0"/>
          <c:dLbls>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D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Tablas!$N$3:$N$6</c:f>
              <c:numCache>
                <c:formatCode>General</c:formatCode>
                <c:ptCount val="4"/>
                <c:pt idx="0">
                  <c:v>2021</c:v>
                </c:pt>
                <c:pt idx="1">
                  <c:v>2022</c:v>
                </c:pt>
                <c:pt idx="2">
                  <c:v>2023</c:v>
                </c:pt>
                <c:pt idx="3">
                  <c:v>2024</c:v>
                </c:pt>
              </c:numCache>
            </c:numRef>
          </c:cat>
          <c:val>
            <c:numRef>
              <c:f>Tablas!$P$3:$P$6</c:f>
              <c:numCache>
                <c:formatCode>#,##0</c:formatCode>
                <c:ptCount val="4"/>
                <c:pt idx="0">
                  <c:v>8021586</c:v>
                </c:pt>
                <c:pt idx="1">
                  <c:v>8120224</c:v>
                </c:pt>
                <c:pt idx="2">
                  <c:v>8251469</c:v>
                </c:pt>
                <c:pt idx="3">
                  <c:v>8142043</c:v>
                </c:pt>
              </c:numCache>
            </c:numRef>
          </c:val>
          <c:extLst>
            <c:ext xmlns:c16="http://schemas.microsoft.com/office/drawing/2014/chart" uri="{C3380CC4-5D6E-409C-BE32-E72D297353CC}">
              <c16:uniqueId val="{00000001-1E23-4A8D-A7EF-19F62D6D2E4E}"/>
            </c:ext>
          </c:extLst>
        </c:ser>
        <c:dLbls>
          <c:dLblPos val="outEnd"/>
          <c:showLegendKey val="0"/>
          <c:showVal val="1"/>
          <c:showCatName val="0"/>
          <c:showSerName val="0"/>
          <c:showPercent val="0"/>
          <c:showBubbleSize val="0"/>
        </c:dLbls>
        <c:gapWidth val="219"/>
        <c:overlap val="-27"/>
        <c:axId val="532158944"/>
        <c:axId val="532159424"/>
      </c:barChart>
      <c:catAx>
        <c:axId val="532158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DO"/>
          </a:p>
        </c:txPr>
        <c:crossAx val="532159424"/>
        <c:crosses val="autoZero"/>
        <c:auto val="0"/>
        <c:lblAlgn val="ctr"/>
        <c:lblOffset val="100"/>
        <c:noMultiLvlLbl val="0"/>
      </c:catAx>
      <c:valAx>
        <c:axId val="532159424"/>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DO"/>
                  <a:t>Total empleado</a:t>
                </a:r>
              </a:p>
            </c:rich>
          </c:tx>
          <c:layout>
            <c:manualLayout>
              <c:xMode val="edge"/>
              <c:yMode val="edge"/>
              <c:x val="1.6638935108153077E-2"/>
              <c:y val="0.3355992031466980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DO"/>
            </a:p>
          </c:txPr>
        </c:title>
        <c:numFmt formatCode="#,##0" sourceLinked="1"/>
        <c:majorTickMark val="none"/>
        <c:minorTickMark val="none"/>
        <c:tickLblPos val="nextTo"/>
        <c:crossAx val="5321589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s-DO"/>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2791776027996496E-2"/>
          <c:y val="0.27307577467375643"/>
          <c:w val="0.89665266841644797"/>
          <c:h val="0.68521322370157678"/>
        </c:manualLayout>
      </c:layout>
      <c:lineChart>
        <c:grouping val="standard"/>
        <c:varyColors val="0"/>
        <c:ser>
          <c:idx val="1"/>
          <c:order val="0"/>
          <c:tx>
            <c:strRef>
              <c:f>Tablas!$O$2</c:f>
              <c:strCache>
                <c:ptCount val="1"/>
                <c:pt idx="0">
                  <c:v>SALARIO PROMEDIO</c:v>
                </c:pt>
              </c:strCache>
            </c:strRef>
          </c:tx>
          <c:spPr>
            <a:ln w="28575" cap="rnd">
              <a:solidFill>
                <a:schemeClr val="accent1"/>
              </a:solidFill>
              <a:round/>
            </a:ln>
            <a:effectLst/>
          </c:spPr>
          <c:marker>
            <c:symbol val="circle"/>
            <c:size val="5"/>
            <c:spPr>
              <a:solidFill>
                <a:schemeClr val="bg1"/>
              </a:solidFill>
              <a:ln w="9525">
                <a:solidFill>
                  <a:schemeClr val="accent1"/>
                </a:solidFill>
              </a:ln>
              <a:effectLst/>
            </c:spPr>
          </c:marker>
          <c:dLbls>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s-DO"/>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Tablas!$N$3:$N$6</c:f>
              <c:numCache>
                <c:formatCode>General</c:formatCode>
                <c:ptCount val="4"/>
                <c:pt idx="0">
                  <c:v>2021</c:v>
                </c:pt>
                <c:pt idx="1">
                  <c:v>2022</c:v>
                </c:pt>
                <c:pt idx="2">
                  <c:v>2023</c:v>
                </c:pt>
                <c:pt idx="3">
                  <c:v>2024</c:v>
                </c:pt>
              </c:numCache>
            </c:numRef>
          </c:cat>
          <c:val>
            <c:numRef>
              <c:f>Tablas!$O$3:$O$6</c:f>
              <c:numCache>
                <c:formatCode>"$"#,##0</c:formatCode>
                <c:ptCount val="4"/>
                <c:pt idx="0">
                  <c:v>77330.083333333328</c:v>
                </c:pt>
                <c:pt idx="1">
                  <c:v>80167.854166666672</c:v>
                </c:pt>
                <c:pt idx="2">
                  <c:v>82837.375</c:v>
                </c:pt>
                <c:pt idx="3">
                  <c:v>90040.666666666672</c:v>
                </c:pt>
              </c:numCache>
            </c:numRef>
          </c:val>
          <c:smooth val="0"/>
          <c:extLst>
            <c:ext xmlns:c16="http://schemas.microsoft.com/office/drawing/2014/chart" uri="{C3380CC4-5D6E-409C-BE32-E72D297353CC}">
              <c16:uniqueId val="{00000000-D4C2-43F5-A4A6-501DF7A08798}"/>
            </c:ext>
          </c:extLst>
        </c:ser>
        <c:dLbls>
          <c:showLegendKey val="0"/>
          <c:showVal val="0"/>
          <c:showCatName val="0"/>
          <c:showSerName val="0"/>
          <c:showPercent val="0"/>
          <c:showBubbleSize val="0"/>
        </c:dLbls>
        <c:marker val="1"/>
        <c:smooth val="0"/>
        <c:axId val="1976286608"/>
        <c:axId val="1976287088"/>
      </c:lineChart>
      <c:catAx>
        <c:axId val="1976286608"/>
        <c:scaling>
          <c:orientation val="minMax"/>
        </c:scaling>
        <c:delete val="1"/>
        <c:axPos val="b"/>
        <c:numFmt formatCode="General" sourceLinked="1"/>
        <c:majorTickMark val="none"/>
        <c:minorTickMark val="none"/>
        <c:tickLblPos val="nextTo"/>
        <c:crossAx val="1976287088"/>
        <c:crosses val="autoZero"/>
        <c:auto val="1"/>
        <c:lblAlgn val="ctr"/>
        <c:lblOffset val="100"/>
        <c:noMultiLvlLbl val="0"/>
      </c:catAx>
      <c:valAx>
        <c:axId val="1976287088"/>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DO"/>
                  <a:t>Salario anual</a:t>
                </a:r>
                <a:r>
                  <a:rPr lang="es-DO" baseline="0"/>
                  <a:t> promedio</a:t>
                </a:r>
                <a:endParaRPr lang="es-DO"/>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DO"/>
            </a:p>
          </c:txPr>
        </c:title>
        <c:numFmt formatCode="&quot;$&quot;#,##0" sourceLinked="1"/>
        <c:majorTickMark val="none"/>
        <c:minorTickMark val="none"/>
        <c:tickLblPos val="nextTo"/>
        <c:crossAx val="1976286608"/>
        <c:crosses val="autoZero"/>
        <c:crossBetween val="between"/>
      </c:valAx>
      <c:spPr>
        <a:noFill/>
        <a:ln w="15875">
          <a:solidFill>
            <a:schemeClr val="bg1"/>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s-DO"/>
    </a:p>
  </c:txPr>
  <c:printSettings>
    <c:headerFooter/>
    <c:pageMargins b="0.75" l="0.7" r="0.7" t="0.75" header="0.3" footer="0.3"/>
    <c:pageSetup/>
  </c:printSettings>
  <c:userShapes r:id="rId3"/>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1514143094841932E-2"/>
          <c:y val="0.1523545706371191"/>
          <c:w val="0.88630061009428729"/>
          <c:h val="0.69033524549043557"/>
        </c:manualLayout>
      </c:layout>
      <c:barChart>
        <c:barDir val="col"/>
        <c:grouping val="clustered"/>
        <c:varyColors val="0"/>
        <c:ser>
          <c:idx val="1"/>
          <c:order val="0"/>
          <c:tx>
            <c:strRef>
              <c:f>Tablas!$P$2</c:f>
              <c:strCache>
                <c:ptCount val="1"/>
                <c:pt idx="0">
                  <c:v>EMPLEADOS</c:v>
                </c:pt>
              </c:strCache>
            </c:strRef>
          </c:tx>
          <c:spPr>
            <a:solidFill>
              <a:schemeClr val="accent2"/>
            </a:solidFill>
            <a:ln>
              <a:noFill/>
            </a:ln>
            <a:effectLst/>
          </c:spPr>
          <c:invertIfNegative val="0"/>
          <c:dLbls>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D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Tablas!$N$3:$N$6</c:f>
              <c:numCache>
                <c:formatCode>General</c:formatCode>
                <c:ptCount val="4"/>
                <c:pt idx="0">
                  <c:v>2021</c:v>
                </c:pt>
                <c:pt idx="1">
                  <c:v>2022</c:v>
                </c:pt>
                <c:pt idx="2">
                  <c:v>2023</c:v>
                </c:pt>
                <c:pt idx="3">
                  <c:v>2024</c:v>
                </c:pt>
              </c:numCache>
            </c:numRef>
          </c:cat>
          <c:val>
            <c:numRef>
              <c:f>Tablas!$P$3:$P$6</c:f>
              <c:numCache>
                <c:formatCode>#,##0</c:formatCode>
                <c:ptCount val="4"/>
                <c:pt idx="0">
                  <c:v>8021586</c:v>
                </c:pt>
                <c:pt idx="1">
                  <c:v>8120224</c:v>
                </c:pt>
                <c:pt idx="2">
                  <c:v>8251469</c:v>
                </c:pt>
                <c:pt idx="3">
                  <c:v>8142043</c:v>
                </c:pt>
              </c:numCache>
            </c:numRef>
          </c:val>
          <c:extLst>
            <c:ext xmlns:c16="http://schemas.microsoft.com/office/drawing/2014/chart" uri="{C3380CC4-5D6E-409C-BE32-E72D297353CC}">
              <c16:uniqueId val="{00000000-D262-4E53-8BB1-E6E0E79F5620}"/>
            </c:ext>
          </c:extLst>
        </c:ser>
        <c:dLbls>
          <c:dLblPos val="outEnd"/>
          <c:showLegendKey val="0"/>
          <c:showVal val="1"/>
          <c:showCatName val="0"/>
          <c:showSerName val="0"/>
          <c:showPercent val="0"/>
          <c:showBubbleSize val="0"/>
        </c:dLbls>
        <c:gapWidth val="219"/>
        <c:overlap val="-27"/>
        <c:axId val="532158944"/>
        <c:axId val="532159424"/>
      </c:barChart>
      <c:catAx>
        <c:axId val="532158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DO"/>
          </a:p>
        </c:txPr>
        <c:crossAx val="532159424"/>
        <c:crosses val="autoZero"/>
        <c:auto val="0"/>
        <c:lblAlgn val="ctr"/>
        <c:lblOffset val="100"/>
        <c:noMultiLvlLbl val="0"/>
      </c:catAx>
      <c:valAx>
        <c:axId val="532159424"/>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DO"/>
                  <a:t>Total empleado</a:t>
                </a:r>
              </a:p>
            </c:rich>
          </c:tx>
          <c:layout>
            <c:manualLayout>
              <c:xMode val="edge"/>
              <c:yMode val="edge"/>
              <c:x val="1.6638935108153077E-2"/>
              <c:y val="0.3355992031466980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DO"/>
            </a:p>
          </c:txPr>
        </c:title>
        <c:numFmt formatCode="#,##0" sourceLinked="1"/>
        <c:majorTickMark val="none"/>
        <c:minorTickMark val="none"/>
        <c:tickLblPos val="nextTo"/>
        <c:crossAx val="5321589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s-DO"/>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3149901206169452E-2"/>
          <c:y val="4.5931758530183752E-3"/>
          <c:w val="0.76235335751570377"/>
          <c:h val="0.98332534520141501"/>
        </c:manualLayout>
      </c:layout>
      <c:doughnutChart>
        <c:varyColors val="1"/>
        <c:ser>
          <c:idx val="0"/>
          <c:order val="0"/>
          <c:spPr>
            <a:solidFill>
              <a:schemeClr val="accent2"/>
            </a:solidFill>
          </c:spPr>
          <c:dPt>
            <c:idx val="0"/>
            <c:bubble3D val="0"/>
            <c:spPr>
              <a:solidFill>
                <a:schemeClr val="accent2"/>
              </a:solidFill>
              <a:ln w="19050">
                <a:solidFill>
                  <a:schemeClr val="lt1"/>
                </a:solidFill>
              </a:ln>
              <a:effectLst/>
            </c:spPr>
            <c:extLst>
              <c:ext xmlns:c16="http://schemas.microsoft.com/office/drawing/2014/chart" uri="{C3380CC4-5D6E-409C-BE32-E72D297353CC}">
                <c16:uniqueId val="{00000001-1F8A-4D50-86AC-2E0A59A19408}"/>
              </c:ext>
            </c:extLst>
          </c:dPt>
          <c:dPt>
            <c:idx val="1"/>
            <c:bubble3D val="0"/>
            <c:spPr>
              <a:solidFill>
                <a:schemeClr val="bg1">
                  <a:lumMod val="65000"/>
                </a:schemeClr>
              </a:solidFill>
              <a:ln w="19050">
                <a:solidFill>
                  <a:schemeClr val="lt1"/>
                </a:solidFill>
              </a:ln>
              <a:effectLst/>
            </c:spPr>
            <c:extLst>
              <c:ext xmlns:c16="http://schemas.microsoft.com/office/drawing/2014/chart" uri="{C3380CC4-5D6E-409C-BE32-E72D297353CC}">
                <c16:uniqueId val="{00000003-1F8A-4D50-86AC-2E0A59A19408}"/>
              </c:ext>
            </c:extLst>
          </c:dPt>
          <c:dLbls>
            <c:delete val="1"/>
          </c:dLbls>
          <c:cat>
            <c:strRef>
              <c:f>Tablas!$I$19:$I$20</c:f>
              <c:strCache>
                <c:ptCount val="2"/>
                <c:pt idx="0">
                  <c:v>Finanzas</c:v>
                </c:pt>
                <c:pt idx="1">
                  <c:v>Otros</c:v>
                </c:pt>
              </c:strCache>
            </c:strRef>
          </c:cat>
          <c:val>
            <c:numRef>
              <c:f>Tablas!$J$19:$J$20</c:f>
              <c:numCache>
                <c:formatCode>#,##0</c:formatCode>
                <c:ptCount val="2"/>
                <c:pt idx="0">
                  <c:v>8021586</c:v>
                </c:pt>
                <c:pt idx="1">
                  <c:v>112825763</c:v>
                </c:pt>
              </c:numCache>
            </c:numRef>
          </c:val>
          <c:extLst>
            <c:ext xmlns:c16="http://schemas.microsoft.com/office/drawing/2014/chart" uri="{C3380CC4-5D6E-409C-BE32-E72D297353CC}">
              <c16:uniqueId val="{00000004-1F8A-4D50-86AC-2E0A59A19408}"/>
            </c:ext>
          </c:extLst>
        </c:ser>
        <c:ser>
          <c:idx val="1"/>
          <c:order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6-1F8A-4D50-86AC-2E0A59A1940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1F8A-4D50-86AC-2E0A59A1940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DO"/>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Tablas!$I$19:$I$20</c:f>
              <c:strCache>
                <c:ptCount val="2"/>
                <c:pt idx="0">
                  <c:v>Finanzas</c:v>
                </c:pt>
                <c:pt idx="1">
                  <c:v>Otros</c:v>
                </c:pt>
              </c:strCache>
            </c:strRef>
          </c:cat>
          <c:val>
            <c:numRef>
              <c:f>Tablas!$K$19:$K$20</c:f>
              <c:numCache>
                <c:formatCode>#,##0</c:formatCode>
                <c:ptCount val="2"/>
              </c:numCache>
            </c:numRef>
          </c:val>
          <c:extLst>
            <c:ext xmlns:c16="http://schemas.microsoft.com/office/drawing/2014/chart" uri="{C3380CC4-5D6E-409C-BE32-E72D297353CC}">
              <c16:uniqueId val="{00000009-1F8A-4D50-86AC-2E0A59A19408}"/>
            </c:ext>
          </c:extLst>
        </c:ser>
        <c:dLbls>
          <c:showLegendKey val="0"/>
          <c:showVal val="1"/>
          <c:showCatName val="0"/>
          <c:showSerName val="0"/>
          <c:showPercent val="0"/>
          <c:showBubbleSize val="0"/>
          <c:showLeaderLines val="1"/>
        </c:dLbls>
        <c:firstSliceAng val="0"/>
        <c:holeSize val="44"/>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s-DO"/>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1226346202692407"/>
          <c:y val="6.7718382217148237E-2"/>
          <c:w val="0.60885562187791042"/>
          <c:h val="0.89879606467102058"/>
        </c:manualLayout>
      </c:layout>
      <c:barChart>
        <c:barDir val="bar"/>
        <c:grouping val="clustered"/>
        <c:varyColors val="0"/>
        <c:ser>
          <c:idx val="0"/>
          <c:order val="0"/>
          <c:tx>
            <c:strRef>
              <c:f>Tablas!$F$2</c:f>
              <c:strCache>
                <c:ptCount val="1"/>
                <c:pt idx="0">
                  <c:v>Salario promedio annual</c:v>
                </c:pt>
              </c:strCache>
            </c:strRef>
          </c:tx>
          <c:spPr>
            <a:solidFill>
              <a:schemeClr val="bg1">
                <a:lumMod val="75000"/>
              </a:schemeClr>
            </a:solidFill>
            <a:ln>
              <a:noFill/>
            </a:ln>
            <a:effectLst/>
          </c:spPr>
          <c:invertIfNegative val="0"/>
          <c:cat>
            <c:strRef>
              <c:f>Tablas!$E$3:$E$12</c:f>
              <c:strCache>
                <c:ptCount val="10"/>
                <c:pt idx="0">
                  <c:v>Comercio electrónico</c:v>
                </c:pt>
                <c:pt idx="1">
                  <c:v>Comunicación</c:v>
                </c:pt>
                <c:pt idx="2">
                  <c:v>Educación</c:v>
                </c:pt>
                <c:pt idx="3">
                  <c:v>Energía</c:v>
                </c:pt>
                <c:pt idx="4">
                  <c:v>Finanzas</c:v>
                </c:pt>
                <c:pt idx="5">
                  <c:v>Logística</c:v>
                </c:pt>
                <c:pt idx="6">
                  <c:v>Negocios</c:v>
                </c:pt>
                <c:pt idx="7">
                  <c:v>Salud</c:v>
                </c:pt>
                <c:pt idx="8">
                  <c:v>Tecnología</c:v>
                </c:pt>
                <c:pt idx="9">
                  <c:v>Transporte</c:v>
                </c:pt>
              </c:strCache>
            </c:strRef>
          </c:cat>
          <c:val>
            <c:numRef>
              <c:f>Tablas!$F$3:$F$12</c:f>
              <c:numCache>
                <c:formatCode>"$"#,##0</c:formatCode>
                <c:ptCount val="10"/>
                <c:pt idx="0">
                  <c:v>62625.291666666664</c:v>
                </c:pt>
                <c:pt idx="1">
                  <c:v>75580.708333333328</c:v>
                </c:pt>
                <c:pt idx="2">
                  <c:v>20737.416666666668</c:v>
                </c:pt>
                <c:pt idx="3">
                  <c:v>51626.702127659577</c:v>
                </c:pt>
                <c:pt idx="4">
                  <c:v>77330.083333333328</c:v>
                </c:pt>
                <c:pt idx="5">
                  <c:v>57353.829787234041</c:v>
                </c:pt>
                <c:pt idx="6">
                  <c:v>64714.4375</c:v>
                </c:pt>
                <c:pt idx="7">
                  <c:v>47654.729166666664</c:v>
                </c:pt>
                <c:pt idx="8">
                  <c:v>34629.270833333336</c:v>
                </c:pt>
                <c:pt idx="9">
                  <c:v>43391.395833333336</c:v>
                </c:pt>
              </c:numCache>
            </c:numRef>
          </c:val>
          <c:extLst>
            <c:ext xmlns:c16="http://schemas.microsoft.com/office/drawing/2014/chart" uri="{C3380CC4-5D6E-409C-BE32-E72D297353CC}">
              <c16:uniqueId val="{00000000-BC8E-4805-98FF-9B6F781A246A}"/>
            </c:ext>
          </c:extLst>
        </c:ser>
        <c:ser>
          <c:idx val="1"/>
          <c:order val="1"/>
          <c:tx>
            <c:strRef>
              <c:f>Tablas!$G$2</c:f>
              <c:strCache>
                <c:ptCount val="1"/>
                <c:pt idx="0">
                  <c:v>Seleccion</c:v>
                </c:pt>
              </c:strCache>
            </c:strRef>
          </c:tx>
          <c:spPr>
            <a:solidFill>
              <a:schemeClr val="accent1"/>
            </a:solidFill>
            <a:ln>
              <a:noFill/>
            </a:ln>
            <a:effectLst/>
          </c:spPr>
          <c:invertIfNegative val="0"/>
          <c:val>
            <c:numRef>
              <c:f>Tablas!$G$3:$G$12</c:f>
              <c:numCache>
                <c:formatCode>General</c:formatCode>
                <c:ptCount val="10"/>
                <c:pt idx="0">
                  <c:v>0</c:v>
                </c:pt>
                <c:pt idx="1">
                  <c:v>0</c:v>
                </c:pt>
                <c:pt idx="2">
                  <c:v>0</c:v>
                </c:pt>
                <c:pt idx="3">
                  <c:v>0</c:v>
                </c:pt>
                <c:pt idx="4">
                  <c:v>77330.083333333328</c:v>
                </c:pt>
                <c:pt idx="5">
                  <c:v>0</c:v>
                </c:pt>
                <c:pt idx="6">
                  <c:v>0</c:v>
                </c:pt>
                <c:pt idx="7">
                  <c:v>0</c:v>
                </c:pt>
                <c:pt idx="8">
                  <c:v>0</c:v>
                </c:pt>
                <c:pt idx="9">
                  <c:v>0</c:v>
                </c:pt>
              </c:numCache>
            </c:numRef>
          </c:val>
          <c:extLst>
            <c:ext xmlns:c16="http://schemas.microsoft.com/office/drawing/2014/chart" uri="{C3380CC4-5D6E-409C-BE32-E72D297353CC}">
              <c16:uniqueId val="{00000000-1622-464C-A9D5-8977B7661671}"/>
            </c:ext>
          </c:extLst>
        </c:ser>
        <c:dLbls>
          <c:showLegendKey val="0"/>
          <c:showVal val="0"/>
          <c:showCatName val="0"/>
          <c:showSerName val="0"/>
          <c:showPercent val="0"/>
          <c:showBubbleSize val="0"/>
        </c:dLbls>
        <c:gapWidth val="80"/>
        <c:overlap val="100"/>
        <c:axId val="687097728"/>
        <c:axId val="687086208"/>
      </c:barChart>
      <c:catAx>
        <c:axId val="68709772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s-DO"/>
          </a:p>
        </c:txPr>
        <c:crossAx val="687086208"/>
        <c:crosses val="autoZero"/>
        <c:auto val="1"/>
        <c:lblAlgn val="ctr"/>
        <c:lblOffset val="100"/>
        <c:noMultiLvlLbl val="0"/>
      </c:catAx>
      <c:valAx>
        <c:axId val="687086208"/>
        <c:scaling>
          <c:orientation val="minMax"/>
        </c:scaling>
        <c:delete val="0"/>
        <c:axPos val="t"/>
        <c:numFmt formatCode="&quot;$&quot;#,##0,\ &quot;K&quot;" sourceLinked="0"/>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s-DO"/>
          </a:p>
        </c:txPr>
        <c:crossAx val="6870977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s-DO"/>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AF4EADCE-BA88-452D-821C-C51526EEA919}">
          <cx:tx>
            <cx:txData>
              <cx:f>_xlchart.v5.2</cx:f>
              <cx:v>Empleados por 100 capita</cx:v>
            </cx:txData>
          </cx:tx>
          <cx:dataId val="0"/>
          <cx:layoutPr>
            <cx:regionLabelLayout val="none"/>
            <cx:geography cultureLanguage="es-MX" cultureRegion="DO" attribution="Con tecnología de Bing">
              <cx:geoCache provider="{E9337A44-BEBE-4D9F-B70C-5C5E7DAFC167}">
                <cx:binary>1H3pdts4tu6rZOX3pYsAQQLo1dVrFSnJsuUpjuMMf7gUD5wJkuD8Ruf3fYTzYveTp9iMKna6fe69
VtfqqkSCsIkPe/r2BvTPi/4fF+nVunrXZ2mu/3HR//k+rOviH3/8oS/Cq2ytd7LoolJaXdc7Fyr7
Q11fRxdXf1xW6y7Kgz+oSdgfF+G6qq/69//6J74tuFIH6mJdRyr/0FxVw+mVbtJa/+K9rW+9W19m
UT6LdF1FFzX58/15VAVRHq3fv7vK66gezobi6s/3Tz71/t0f0+/6ad53KUSrm0uMtfiOTaiQlsPl
zUu8f5eqPLh72+Bix5HCZJYgt+/b93MfrTOMf4lEN/KsLy+rK63xSDf/fjzyifx446/37y5Uk9eb
dQuwhH++n+t6fan0u095hH+9fxdp5d1+wlObp/j08eax/3i69P/65+QvsBCTv3mEznTVnnvrJ3AW
qaqiy1fEhoodW9o2YZZ5+yJPsRF0hwluMSruPmA9xeYFAm2H5mHgBJnFwash8xSpRxuSiB3LsWz8
w7Y+tOPs2A4lTJr27fv0f/qh72Gd7MkTKHat3p1GF+rnDXly+v/BhjxSVR2+m60TVb/irmR8hzHH
MgWxbi2CfLoriWnuMEdalN5ZDLx/a61uLcatPO8ur9J3GwGv7t/dZsu2b8+fv2GyT49mr7ZPJ/bi
f9aCHK6rIV3nl79akt8072JH2pRb9gQk7uxwk1BpSXYL4sR0vESS7eD8GDkB5fCNgrJa53oNn/Nq
HlfAajNOJedbDZyEARQmESZAu3nx+7lv9ed5ebYDcz9uAssKrnNi2d6Et/0rXX9fZ69o1yy6wx2H
UUqx4I9DIOHsCGZaFjXpg8F7bNBeIMl2RB4GTiD56/Xc7P9V83Xrb7x1pdIof01k7B3bkha3LfNB
Ix4DxOUOEbYlHMe51SjnqcbcS/Sf+Jxt3zGB7ch7m5p0dNW9O7zqb+KYVzNybIdRYnHC7iCBf3kM
GTGdHWIKSyKMeArWUXPVqneH//1fzwm0Xacmw6cQHb5NiP6qolG9qkqxHTh/SgUC6Xsn8wQfQnZg
DG3p2LcATlB6gUDb8XkYOEHmr29vE5nTEAnouz39umEbw+pTQaUt7jzONCsnyNqFMDcI3bygXo9d
0kul2o7R09EToE733iZQnkIeBxLhfqG2pRu/H1tLYdsmo1sDOWLCbzEukM7eT3obwb1ElO3I/Bg5
QcU7fpuo/FUlrx1esx0oDaJncqcaE9WRIE0sSWzbFreoTQitl0i0HZwfIyfg/AUy4C2G2OdXVaby
+n7z/ucaw9iOyW2K/03CAU7hbagjHUQEN68JKC+QZDsmDwMnkJyfvU1IDiOtVVNFr4eJteHbOJSB
gbjZvMCnPY4ENvrCOSK5ezpnAs1LJNqOzY+RE3AO36gx89ZpdK2q1+bnqc0cRxJ5Cw8CscfwECJ3
HMIpIu07uu1+a9z5mhfJtB2gx88zgcj7623qj6fy/Oqiji6a1zRriMa4TWzLuqOkJxjBunFLINam
E915oTR/g87jR5nC82bNG+DRr0tXOzsWk6ihICa4eU3AkWyHSBRQkAw91ZzD6AWybIfm0dAJMIdH
b1NvZlfpultXV/dL9J/HApbcMU3BHXpPc04ZahtVBOEwi9zlQBPdeYlE29H5MXICzmz+NsHZvVIo
C69fERuEYwwGC3qzVWeEhRIQszgz73RqkuC8QKDt0DwMnCCz+0bdzd7lOnzFjBPxsyWkyem9r5/k
NoSwHccGUyrMibY8K8h2PO6GTdDYm71NPdkQnct1Vugwek1LxqwdR9gOkffuf5rcbMIDGDpp3oVw
E0ezoSzXLxNsO0o/fcEEr6Pl28RrL0UdQUX69QwbM3cIlIeBtLnNMycKJFBJYAK9B+KOPIBTesyr
vUSi7Rj9GDkBZ++NFnv28sto/aqUtNxBkiPBD/xwKo8zHZThEEKD85R3UTabYPO8QH8Dzf3AKTJv
NFbbU90rxgKMgrNhjs3ZXT/OxLpJa2eDh0PMu/cnxbfnpPkbTG6eYQrIG40CVjAhzUUy3O/XVwie
0bWHrg6KCPkpHSBsKAkaC9Chc2vgJkryElG2I/Jj5ASV1de36V2Ow+g1QzM0PYFURqp519UxURP0
6nETEYK4p9EmnuU5abaDcjtqAsjxG3X3B6qJ9Cv7FHNHCuQwDqKz29dTdZEExQIiUAe9iwcm6nLw
Aom2I/Nj5ASdgzdixJ4pWDxuFHjy0d/tP5ZwHxa8i7VdbyRoArIpod03qk0QmvYq/b1c23Gajn/y
LG+k8fhwHeWvyMwwG4zZpvh/z8xM+qEcuUOJQxjCgq0+5llxtiNxN2yiLodvlJM5jC7CKFjnr+fz
kfwLzrjk9534P7t+jgYptPHf2bpJIPYSif4GmYdnmYKz9zZd/+Fa6/VF2Oirun7N7JLuoBIDWgw4
bKOaObo60LVuWWLS0vlief4Gn6ePMwXpjTicJ2LjrMuGrdm/qvTVK8bNm/wfPWfStrYXOzn4My5s
HOi5Cxcm3uaWaXlequ04PR395HnxuPtvVJdQkd78UxTR69m6TS8uRXXggYZBtPyEC0DRE6dA0Hlz
13rzk617kVDbYdrUpR+eaILS4ce3idLnSF+oXEev648QlUGVnLvY+WeMkKHi/JLcfjrpRSJtR+jR
0Ak+n/feJj5nV/2rnjEgKJ5ZggmyvYCDqNpCQzuOINy1tCOWeMxzPivOdlzuhk0wOfvyNjE5RO/T
qzKcODkF528TicLZzWvCERATZo3hOKZjTfzOC0TZjsjDwAkmh2dvE5Ozq01RXl+9Yrpj2TjeATUw
0U9785o0QIF3tpiFJpy/Kd+8SKTt6DwaOsHn7I1yz0dX36u1Tl6Tf0b1DN1NFipoW+GBKQPDs7Fj
d/BNKp8vkWg7Oj9GTsA5eqM56XGSohz9qmem0OEsLJDNdyUZkzyN0yR4apzyME1+d7ocMcJjP/MS
ibaD82PkBJzj1du0bEcoAr/m4XH01+AUNQOLs73USYiDGBqnpvid3QN0j6F5Xp7twNyPm8BydP5W
YenefVVVcr84/3ntBgU1HLulbHOg8OY1iQK4jbMfpomGgjt6bZLb3GaRz8n0N+DctBrcjp0C9PVt
AnRcXQXqNdMaC/AIdJ5ZdxW0SVpDqLmDswOEWBOF2Qjy3//7l5JsB+Vh4ASR49O3ichH1eDagfsD
k6+nOBaQMVEHoPdJzURxhIliDlrSCHqib14TxbmX6OYY6Mem+pVk25H6+RsmkH303iZkJwir9ZC2
61ftXQfbJiRa1+8CM3MaHXC+IywhNgfhbwGbZKEvlWo7WE9HT4A6+ettAnWrW69+pQdO61rwN2hT
uwViUvEBibBDLRPtoM4kMX10Fce/pVHT8ROYPs7eJkyf6nX4K/PymwcNEcqhrIAWwrswe5KhwuBt
aGvcXOBMTN5zcmzXnNtREyg+vVHG4PMa7Z55UL9qjIArcBAA2Fz8jb7cxAhoob4/VDUJFV4m03Zw
Ho+dQPT5jRq1z1e6fveSi8R+U21wdRmjAAn33Ny8JlYN8YIDXgH1oDuSFPHE4wzoXqJ3xxcX0SXe
Waf3H9iWBWyHa+uXTHF7o7nR50HherrgV4vye4htUiMpcRD0b87ugudB7E2Q1Jp3EcP93LeH3V4g
0HaUHgZOkfl/lRRN7m15dBfdw2V+s3W9nt/cAvjid28eHncTTobe7fptm/rurb1L3BToOALe/+F2
wc2XPNGXR1WZWzV6NOpqres/3xubq3RMuDGCI8AgHqQJf9VB+/EWzpkKQdAlL3HXIOMo771/l28u
MPvz/YY3F2h2xI1jYGpxGBVi6E2SgbdwOhXnHVDRhaqbQkLC+4c8UemAzPBhve7+/C5vshMV5bX+
8z2mKG4/tRGV4aARzvFZJnJzfBtBBoj3L9an2OP4MPlflJhh0tihs5KBqpZVRvoTm+TVchyGZPTq
StvrRwv0wgk5RQENvYOmQAT2dMIET13QIrNXFrqiZ6Ttot1RNv2Jk4pyGQyagCZ+AGTLfOBCf3pA
NPPexNuIvKn5dD4ZO6OWlLMVV6GzjiUmsOKYnGm7jXZ/PRVi9+lUgBpY27hBZNOQ+nSqKuzCoEkI
WyVZZ68jHldLux6jwnVoQI7qcZTnPInJUeXbPRLh33xK7CTcnQFmC8UWMoGxK5N2MI2KrTSN2V4u
CkJdw87FLGuDPEMK96vJCHz59EGxA4mkYGzAG2x05PGm6VWqM95HbNUpBxPxojJbt4vNNPLamseB
m1txEe5nfa+FN1Rhq78wotJw1qeR4Zk0lzgh8CuJfgYZTDkuQ0ImzB2O2yGfChST0G/SwGcr0TE8
rszKaNc0EvzfvzcXIVAagi2MjTPZUEFsmWk4DGxl6Y4cNczQl7zO+tMmpgVs668ea7OOT5XTwT2r
Amc3uInj6jaC4MfrHNVFZTiqYavWD6811XLe0Mx4Bs1tawcjBAIBk8FKTcA025jxmqZsNSZarWLR
hoUrnMLwyJgYkfvrJyKb1Zk+koXixqbghyUUE6SEb5F2NIi1immUZDOrxZzEN7TjppUuvooysdfM
GaCkkexPh7C29oLWt/aeEePnHezggleTmhtVRUvFRAyfEur7TsJWvajpvpXkxHBLX4qDwtDYoaXM
snmS0Mpxh7EZyOxGee1CR7uwINXy19JsQwBnC9HuuUEaTaFPYU5S6fRZUkB5W78/BYHauV3eqBUr
Kjn//akclMltghgRFb7JjuoLUamKl9YqsrG8UgZQWSPtYeqFAyR+PdlT3wLzjfMTOLonGTzL5nze
ZLIirFValoWx7w9mPLqGURVfcystvo6d6E/afIB1+PWMZIPbj+21mRKXz3ATjhu7maEa8HQpi2Rk
CLW43Df9KtplIjdSV1e6P3U6oz+NtA9cLXvsT0IR07MogEplfa1W3MiLbiYip1yOJdzfjQWpWVJo
bAAaja4fGiOZRUQ9t0hoHnkqMxw/39z0Zjug+ixEghP4c9HHrM8stq9TM1uYYzguVOQYi4DopHGV
mQ194KVpXCnfU3ExOHN05TsfqspIs/kQp5DRz3wA6dtBfTlaWX3Z0wRbV4Yj9IqWBiyvWcWkdW3S
JYFLAsnWZSj609Qpq6UZY1hlOtYeHzBupmNq7XU0Lr/WLVcrETBrv4qxgO6QxMNJEKVGNXfQanFe
j6ERe6H0S7Ik2sZXax5W3SyToZN4aRX5lhs0keXspnmJOQRW2tHhcFKWINBc1jIauk1UkCMdKuyQ
gpHi66B4Pe4a/iid/a6w1ErXQVbNhork4X6ShvVlEqflV17ktNjPSDScEoGoxaC10bpjkQTRNzJI
QMZHy0kStxOdf16mCnuvTpx1ElHsdhZTez0QqS81KTYeum3tdTYk9KIYfbpsS16eVk6d7dodLz0e
Bax1YX9b2+2kDQ9DBkLODKuEkvZCHDA/MTyrZ1hRP/LPB0ajXd+y9GWlazEzFCVn9UixPrLz+anW
wXhOW1tfFpIBp8zp5DnpK32ZZAGlrmPVcj5qn1ieGCp53hQDPmX4g7Un/RzfksUDORtrrBtrTF3e
etQcnnpRaCe13CELq3gZsL5O3YFz7GwWOmxws3wY+X64CUyMmPcnQZnJAzOm/WmiBqefp6ZhODM7
T8lRGZXYNYll2mvuJFjNIY6L2muVGHKvNX3u7Bcbe2m0vNS7mrVlukt7CmHAISTZvKrhFx0VQv+U
GQzBPBsFOQqNLAWUdlYLz1ei7GZ8YPA3deL7qUtyC3u5jQ15rk0fXyvqRsx6w+pPCiLgi+qaJ/1i
SOGX3Tq3qeUVVjAejjwdA49Emb1uVWmvnbCR1NV5JdOZPZDqY2CNdDmOXcBnNHDYt7xt8zMxRsNh
WrbprNS9Im5spEQsSGRW+1Gq2r0gHTCNTvve6/JRNTNT+85Zmo5R55qOyBOX2/FwJHBgfJWxUBVu
lkjpRba2vN42mDfk43CW4FLneaPCothPzCFCZOQkoTuaOv9QF1rkbuw32ZWyq/pasFHtoTGgOcIV
dU3uDX3s916TwDJ5YwrD1ZlFhUUwhuKLkyaVXmh7cC76kZOZrvP8QGmzChYm6p+dK5simpFY5but
atSRjFvSefmow2+BZdguV3VxODihs1vmg78iQ83LXaE752sRZfViyIvxmxN0at9iWTC4fcfGb3la
JnPbpqOnSQsYhW+3XpJ0+be4iHk9y9tQzxKz4rubYFS7vC81nVVVZsxLxIBui+BlkQlabwyT7+bK
9E+bRBt7eVIWe3EV6sVgN8OVH6huHhqR8WGQKvsSJS3z0iGv3SKPEjcudeTypFrzmkE/otGY+TQL
vaatyCIrFL5IGEesD02Yf8tXyk0qKyQzh6eWqr2klLg62K1ALgZqg3zRHSDSFUtqkcGe5VHbucz3
MRFLpT9jTRDuCVVoD3fdh7NRDcacZqr5VCROWXhtrheNnQxeHpoXKdfqi0wj6kaS9Att+NasSSGH
9OvsA7zSmAD4MTxwWNm5RWACUR7Q+EBxmZ+YdVOcpLrGpjYcRGTrwa/JkUFjqITWyBjmqqhpvHJ6
HwE2tfq69GBt68ugMmGQ1CjJ2WCO2LJm3crzijd9MBdNb5vzJAr73K1VabZuxv109KhtqK8+Yf1J
2peGx4e0WtZawh+LxvYjN6VMrVSVbr6N9IXeTaIaJgjWGIFZoWBte+RRWscI4Zx2JGdtwaD6TWiX
S9azuF/aJCm+FgW2rad4q7SbpHn6laoyQDwXNp1LLEUVdD7URfbNjkNRXA9Fy1zd8tqfp7zW8zxm
3VUmujLw7MSwP0vHl3tVKPUyVUMQunkfRI2bkjj8rtt6HRe2NbdZFASeP8B8fElHozE+RmOhrKWg
oThqqzjynDRK5mHXlcvYcMbFIPLi0yiDjLtoYus+tXaVnTpBcU3T8UuPk9XHSU3rJewqTz0qq2bO
moJeBnUYXI5R1H0MGg7koPHxvGyTQLos4N3otmGUDG6Zar7v2Ljcf9Z3aZF52oEd95JGB92ylr25
YqUaDktdW6fO2EeGW2VJQ1wHKMQegh15buRtn897UqeHfVWx4zEa0+OSsOY0i0TpVYroC9Ya6VzV
o/VdSadd1U4xUtf2aeS4WliRl4RV6HbN2Ek3K1OYC+nbszgTbH/o2u9+YXQfuzpIPpCmMQ+rKLC/
JZ2TBF6VhhK+MieRWw5WcCTZEB1WvW3tG7KTjhu2gV7TqCtWGUjHeR7ZzYo4puG7rNZZtUtg8hYG
gtl21hNKfTdiPu8XYZpbZ05SFMs2t8aPRRT6B+bQjB/q0FSubIPuK35bomzmptYs2u+jvrc9oUzD
cYXfieTI6c2u2JU47rBElmscxHxUn8yootIzkibLXWpwM1k22DxHHTz8NWlLfdgURbvbwxGu8lhn
6ayQoa9dRZBehDBuuwnzSeQViCwML2h5+yGgbWe5eezbBfZlWn1N+tpycaG5fdBHFGbUMgdZe2XR
5t2MZlXje2mu6GHNh9F2B1kSMRcpZzCIpLtS1Gn8hTTKcREUAdtjrKRzK3XGpW54dKozUn5qyKDP
RTqweduPiTfGfeQm3GEuM8OQuP0Y85lVdDzyiD+Gl2ZWww/V5tB6vtFG6YxhqU7aEXlKno688mzl
R8fU5P0ns+qMQzuqrcCNrNJaCMOquJsXub0oNbc7T9FI6t0Ge/faT8P+cyGs+qKzfX7ZObUTLczC
abSnU2KnXqxSXrm+sNT1WI9lNKvCcWiWvC6u7bAPTnScWfBy+JWPfavrQ+UqlZezsI/KwWW8qrwE
3vnYSLt4Tk3Hr2cyQMwejEPfu2aoeOjaDavFKmnMwTUYb7+EzqAajwdjfGxyn5uuX+TpcS7TtHZz
2hsfQsMCaikIJLbMii7tm/M+LHuf3Wawd+zjyW0yccugXSgEVlEQ3v2KycMf/3WmMvxz88MaP/5y
8yMoP/6Eo0e3v57yy0/h8pcNjaunH9pI8/BdPy7g3/CPD7/nMWE0b39v5Z4J/J03X8aFIlVmqBY8
0Bc/caFbT/RsSMa7kXd8KI7SSQreDwyKDQ4JPOADH8o35+pxEwXSuNs2LmTt93zohioFCwp+B5eP
gsZD4nfPhxIUasFjmptrR3HrFQjW+1V4giZI4Ls/P+ZDn+biNr6agCpECEDw35BukrNKa3CMpDCK
pYjS61AFctcQCnZLICl/tDovnAlNT2AhOJIlJONPU9U0Zzkbe4KZ6Ni5mVl8K3LVu50fNs9kxdue
CXPgUALu4GdMbN5/xPEGNZKpqkiKZd0ljec35rFus9h1yvH8tx8J3Q2UmTam29zZ83SilqdEqmos
loNOrpM0ufaN6DrGv/+daWzBCAfiP2FUO8hrQ7svlr7RybkUZenq0Em9pI/+jaXDXpX4zRnw5Giz
mfAJQWFmTIV4otbPqoPebBLXV1QcVHn8zENtvukRc7HZeMKhVFLghJ6DKafK20wYteyKJUKTxHWa
4XQI+nNiDOdF24rZr1dwQpPcTgaSZFNCR8/XlCYxiK2gm6pYylKLGYerXsai9F1lRGtTBJkXscpy
CULQ39+KmwvOcLc9BynvTNXLqVRD0zAvlkUZKbRXlJZrSyM5N2L816+fcbPZflpQm+OXgkD+m9Dq
p5txbOJmiFRWLI0GJEeGJHoeU9P/+OtZtuiWwE0hD7NsiMZHuoVWH8ReTYpZZG+vaNWft1mX7+fV
v7d0j2aa2IsuyULV5pgpTJth5vTxelQGXPHz6rW5OWuydKgqCYGdAfIOPw4x2fXKz2yRqSJbFi1V
s8JsjcQdiro/GVk2zKVvqhmRSLdKHIVamlWvZnGK8M8qWb7flrbjeJ3i/Vz0QYP4NO8ueBhlHo8R
aOEuCbJoeHI9CAZqdyTtYcG171bFDVclVemqAh8ZQj+bm0lHvQYeY4lcMvsALoR+TjhFluzH/rc2
a4dZl/X20t+kVmrI5W4XYz8nvHcCTw+NkblJ3otZWyLcquswnzdIQ+Y15fnH2ojZvinH7qL0YeVJ
7UB2h2CWGLlPJ3QLZouLUM0Hlprf4yQ0vEhDHoOCPct8PHTS1sVCyaA4DuioZrXNbMdrLd+PXdKk
sndLEDm7jl8Vi9L0+3lcgs4ACWp4mYmnGzMYrgyZs8frnHo+h3EJ8VtocwcEhpfznizqsEDO2kpi
7bMM9aq4GkGXm7WaiU2JQ0hUA3hq0s9B2NqrPiDxt0Co9NzpUPsotVV8LZ2Mfvbx7IXLO7BrRcaa
ETK14FtCXiB6tawBuo6wGASLwar0XHfCXglDZx8MI6q/+ViaVRiXxbHTxNcmAaZN7NDPmYiue935
H2sHvEW3MY0hbvJdDSlVyaJKTRBVuHIqDU/iyOlPEcki5CV4Wr/Not02AE+FMCAKkWw2+X4UWMJy
kW5HR4FVyOPYCfJrx5DkiKgYi9ikdj6jRieEe7PtUx2w/dH0xUHoYMmSCIvgN2HsjSwcvKwsAhA8
FI8U8Cj5JsceLrbs1My3wzibpXWrRuTMlZPuRjk1i0PStIWcOaGPUBP5kJxT0iIdztWG+3LMvDow
VDR+FkZun/V5kl1THqp9POOAgjUsJ8pTSH1jIs8R5pMzK1fYP3Zl2pFXMbtNwHmErVo0PRi3qi8s
V0oKCGq/T2y3p0WgXCMAiWjGDtivsoLaMXM0vJbBxY2DFLu1VbSNa6ddEZ7XuRG0u43I47XsqLGQ
OfTI4YoguJdtuntTSOgq2X4ZqzHZtYumThedUdFoERfgv+djLJLSrZCFNq7TJ+T7KAt9SUfoFkOC
SmZpZ+tPSMWLr0HM7NUNQ5D1CsJWjWHtg3yPhhnrUM4jCZCwwyD5VgY03+/9IJ9XvaZeUsXXVITy
wEfdeR+CkAUJsmFmDBrEX5g54VGQyH7eBKncjQ0g1FhwfY0FqxaKSsxsMMsf47ZqkllY9OFVXkh7
mSdO626Yq/GAkeZLoYd218pUVoHywkZAaSHf71h0rf2odEujNsFWpbuyCq7qpuKzUPcf85Iua9V+
b8Ih2s9yh84bv3BWcIX8Q9hAKUkOsUyStodtjRJMkEDPmah9lxY8+SxIMa5M2S8yEI9eMPbgRbMu
0YmbRHHkWnWKTQ2riCJDWgyzvInlsYWgclEa0PqkSYdZ2xa+a+l4mI8VrFvW1e0u2fjdguG5aRav
I22IY9HF9jpFEfWD1YIMUkFHzmLmW/t9gx2VwKB+a6SfemY6qFmb4/FtPUKNMlHK4zpvugttVGnl
Bho2J2SJ+ECcqkQuma5tG4Zyw815TmjwD2PUJy6tqmHm8zL3XdtqxAdfJdUB6RpYsptIq5FVuYsa
RTOLhxhGjDZq5nSYulLoHYi0qD00MncXoZ3vITvL3UBqEzvYpPMqSo+tolaLsLMEQMiKY11u4mqQ
QKsUFDwseRk2kZsR5iUcqxP5EoUEpyHzG6vbhdHXOhHkyuxgrdrNHrHBdh0lfh0dxXYfLNohjGHj
EEmg0lTbR3FgLzSLR3DWFfVsa4RFrFXvtaOjPkU9Vmjkfj7rTaTJKOJ2XgOEYzc1q2oZwBuA0wp8
lMXyfN8fm+yDbmB7jADWo5NQ+qTNsOZSNQsrtks3yNvoyPKp+V2Spl61BrLkRDXHItEpyCOz3Y1D
JXczGRiH+OnLYyuy2i9GHOvjoQ/rQz8eP0em1X0WySBmYlAoXo3EXo4oZMzzsMyOC6PyT9LkKy+r
bBZZ4bUK/MBjdfQJ+nxetWawpEIZ8zDISq82reKYDZqCfR+CDefx3bBV41IOp5dIeEMjCtPzMofl
rXJYHDMT5CwySaG8EZAWt0bWYbpYjMBggdyrcxOn5x78NgoAA/LrZYYThNVuHkqXkrDoXDCIce4O
aQpjFiPJK7FFYoliSWAme3lXmtIVBQcHnlSbgk5bjpWbFlaUuVZQ1iYIq67M3CKjn3RGs/2utLJ9
FIPMwlOiKfetVDezhmQDTWd+2SvurIaO9tkI55NWsH8Z7/zTknZRNzOTODR2WdRm4X4XS6vtXZr5
rdhnbaNy13cadMl5iMWrxnFHWfFrPYCDdEWbZFeF7aBIFgV8rxe8IF43yEojugGVCsIYdn0QPBki
dMfU9Unu8MCtYtbIxtMiiOd1EVZsNloNaUH3Ef1NJGZSe6pPP3ax1aduQZwAEcLgs8gt+NDu52mc
zKLC/M5EsyziOHaNwcpcZhvhgoL3mMFwtB9sOzYOiZUb8azmWQ9fTYdd6Cm1XBXrwW1SUS9p2dTz
vvTXSWgnc97RBASLEjPFS/Ilq2l/1MBHg0gCazzLGW0MT6bWeAR1DS6ClJPGTYg23JT3EqGlYexF
YJDFggcZ7BtzYL5ZgOgE2RJDlZrJ1J4VeOBl0nSgesVgt8801ZBNXPskjscVosj90f5moyUYd74/
jbD1OAas0Wa6LOFAZw7t2sM6aEzuigpxQo3Q8miwjDB06Yi4IpHVhrmm9qq2siByiXwuUUML5c/y
gCEgHA0MSHYnSS4Y+wA6AHnQLHUOfmpVJbCpoOTWedqc+gPc3K9TjJ8yw023JlJDhitw0XxrbpK5
RykGamt2FnRFiqokgrDcb3w4KBD2eR6qlcEG9VxzxE/h/2ZCbm96iSTOzItJ5pRXCHCYk6QwKCWq
vrASCj/Ym7fFLK6ydW0oOU90iHjQFh3K+HA7nRqJsxvSjixCkhqen6T2Wo0l6FYNv/7r9bC2yYcj
46juo1kCTNIkPSn6SBmCNckyzDK237Q6u1ZWCZ3q/g97Z7Yct6416VfpF2AHB3C6JWvQ7EGWfls3
CMn24UwC4Myn74+Wz4lt+Q87zn3vi13hUlWRBIGFtXJlJoe5t5skEyTbNR3zMslLZ7ib9p6oU3HG
yiHRLrgIUpn2KnJ1dFhdKk+8Puih1OvoX9O6jW9aU5qbKoAdMEya9vAwSv8ik0Rlb6FwPYqwkfee
sMUztLptSmL+d44sJ/ywSqy9Erku9aNdFOXTj12xbe04Suetot3957F4w6cBo+Je+WSUu+EbT859
y6fJxlmW7F7VxRDQFvKtvkuGpczS2ROfdRFaFxZpYxKVuXvyTeynmRlwZfkPyvf+dSX+EzH7rc5G
2hdErs+JuNAX3lJphjWYA1U4xUVMvX32ray7VmL+Wxj4DbHgKAAV0Iagd4W/EdzGYpxkgHPuRSBI
noOMwNWqAOzdjakzgqqj611SPOQVSe+fL9Dd5/uvEYgUZae+OzEUePgavy7A1anEZOo5vxD9nMmL
WnTxjSVl/NSMpMZ9N/vru9jy48dWrI9VvOp/Wcqfj8M6+VkKSz8v9nhrBrpBY+Qds0GRTooKumWf
xTf0aPtvWjpyuLRkT+H64+z/P179yt39+s+nZv+bGv0Ddd4D83/m8W9oNY/VHr5/+z/3w/Pwvf/t
e//GqoP/S6D3wHf+Ay3/5O46POCCEEQwxuCSh5Xs6+4nVI3lFQ9yBpn0fj7+4idOzVOeefwcVhgx
rEEiOc/c/C9was/7ZVLuR0SWGcPmB55Bvfl22dH1NC1sHv97xMwZqVeVUCTFtpqK7dH3R1U9C8v4
/anVa7+KA3s/rZnU6qT9krVG0OPq3KUKr+LcX8dDFVutvpjjpu5va79R1pp01eKrF78aSrAOKwjq
0kszYD3ne7h06/iRJlFYP0eRr+RXr/F0cJcFhWZ1QsrpORWhaKW+y4Er5vaQ1b6pVMJaaZobJ1w1
p5w1jbNeu40HmGr1045m/eOW/i+h6detGj9YsGGx86R3SR7D9XardppizIM8+i7nri31xdCIWrB+
p96EF1ufDQXMikLxiJvaloUr/7Jxv0ldOP7+FCFY3EAX3KnfgOqt9CJS/6D4VjqVV5EwdiCj+V76
W7o8mWUmGtM6GzKRk85Zm2rfz8IjbU8dQRruXQF1t+RdXac949wR/mFU/GWMfs0uBFw5j7YKUwgq
NjZ64RtYcckLy82NZ30LLIoI95BtYRbqUx2JwbOT1gxB8FT5NtHpv7o3+3HhO4YuAi+Xh5G8Pa4a
4Xl1lhd9y1bmXJBMtqr7z7mQbpvBJS7GglQnH4YhyfMOGdhfNs741+XD4UP6OzzxAc4lMrK3MT2D
/W3ZS+59s8IaPmTqz3bgP7OQrOGy24qwvissp3NuvUqv433V2xA36DIUNYPy54H4/UyiMArwkyDb
siGBvsm28jCXdbna5psIZpbcaXWCzanYreexF8cikiJ4MiNDQJeDhCh46mj3gkpMRWer+S935dfU
itnADkuDyAfTZisn4f51q6PPa5dr1cqvMt5a35w7rRq5HgEu+ng9r5FZmCJ/vn7nTSTjmDFdsB8L
lT7eb+lmFm+lH6vBeuEZBmFjXSxQK1gQpGh536XjXIpNpEXTr65KFvonDIRf2Pl436ighHpjOaa9
j5u8Me1B++T+H4FK2/7lz6f5awIiQnZ+GP02XkU894jV8iaWkGdFxtbb8rKYwTAJwDtt7o+9zJ5v
JYvxJuteuZXeF80wd/tLobLxL/fnt8Ei26Vx4mEJDz4OnvzmNCLt9sPaB91LW/sWMbwketE+hHA1
rGgqYCpUz3028gzCpoQZUadGNQYgIbJKC8xI50TbPfKvOd9qoZJMMBgr1f1VI/B2WqNIp/Hi7h0m
7jBCml9n0uLNwHUtjJReuoHVHMuhV/X4Xm8DuXY66xVaamqFzcTfulU33XqIqm217mel5GUfm5os
ttk2Cqwm1y3gW4u2hq7K6NtW/TEASdmavYLfoUbXghHZXtlbXPOrVQGQoP+yTJ03lHEuhcfy7LRi
VJB7qv0mC2RmtnqiCHoK/c4v/VTZuCrqRMoxjg1k+dAitMv1NXrWo+Bv449wohyIEjkcusEL9Gmc
vb+vIfE2ipMXk4z45Kf0wlm7b6ZFtVR9I+EgPinDKtJHr68icQss463oFMaV4YjlVG+PTb6sa5iM
0HR1DpHTnYOPmd6kRTkLWPZorLEP7iBC7wnCIqYGbBaB0H57ut6LmULrFPrTR2XKanvc6qACsrVr
eBcUVow+N6hr45w3aSuQiUSIQLh3HlRJXvrNziDEKjiS/SmAosa3KlhcJBj6x+HjKLPWOYm6peQn
OpIHzryw2j03GJTfVM9LH7RanWLoftO98LptuDGmkiBJdWPcJrUy2Sw793XOvrRRK8XjZE8OkyyM
MvKMSbcdKcqfY8PbqLlXJfj9UNlRHKBqeDM1PLm2mROr+mlzmt5k4Pl2qPpk7uDJXHqjngkUfz7i
22iE7oSahI4xhAf27rdH7I3d53PjzV+8bdwn4zyKPfy5fVixeQd7E+5JltBeQSbcceizW0qqkHn6
59Nw3165x/Pj3ZC9wudR8fAp31z55k2jtuKgeWzQ3cCNGrrRt753OtdEoxyWj3M0MuyK9zRTMiKO
yv0uO2aILqYuwdV/rqdkcDN9XcsouF88U0drgq4mmD4OkWUXqYas310ziew8KW0hKcaFBBNgsec2
87CbcrKLS1lWw77yJzCbd/vz7tWaeBA/l7/Voc6buBbteAjpBlfN1QJHvdmuq0DmQJl9+DCNrU0S
6xvjksQiamHeCpIscZE788K0XarY4yWj17SHukDtU9oby9mV93IJ9jddXWz03gvlenuI1FtP61PX
0y402fwVVvZBzjSz9l581LA6Q0ezjP5yE99ENvRFEGooTQLgBA+nkTehWntts3Vl6z5EQ+6xtgaV
7ScwWN64L90f6xgmy8q5yXzZlzixcg8pRmk2Git3SOOdxd/f6jSNkOc6LkNxUcDC4i29IhO7A7Hl
U0Xu7Ze4Zk3QnyorNN4JScrk9enKfsHl/uXS3lQAXBq9UeQnLBX4S+R7v+5CA62tsB679cHLpj1S
DUYztTZI3N3XwY4qF7waYuz2GLrtvj82VudwQ5agqensbU3gDNkp9qxxfiBLNQzHHJYes8+bNqJJ
W9D2n84Cauce3UbC5kXhqpmwNpCRcMBikDb/osZyGIomEwwFNPbcGlK/HkuWRB67Jf96HZ89FO5W
c/8pbP+XKujNGo1IF8iuwl1+yhM1f0t1nXlDUBVo69PUhODAp9f0Fj7sMlUplWWetX8LC2+2o/2Q
kDyQV7Et8cTut4WXXXZkrWoJP/WjwwwZVkypab9sA+MjSiU6/yhnq1v6BGhuZcDrCWHDc0PQY5Rm
s9TD+zDoI1me5CAiggELcvpoMMxlB2gsFv6wtGxUP29bpqHoz8lSQ+b1ElbRfjuyatlvhFUWDi/x
WsbTR7trOs7Er2jrPlbBsNepfx5ttLi/lhZc/L4JECR4NhlZ0NvKhnSwtzJ7WT/l+RrUEvCw8lQq
Z1uWd4G7CbMedW4CFSUxfKAyT4xBbXFl16O3+LQ/cm1dm6yxxK1scroUtK2X7Ktd1PbFLEcRwG9o
u/qbKOvNfGy6oDHP8+bU8zsxOfayHaKyjX2VavLHfjzNsx9Nd0bnMBaSoLEb58azjRMfWvQRTlou
w2gg/iyR3oBL28mIJc2WamIxTJuZ1zpZLL8U5Sl2nVHcB/Wwiiy1F2ecx7OK59yR5G8yGy6HPCQz
S8OtnreNspapqC6XapVjontVBqcpDjPv4DfWsn2aA/imj6NAtXnwxOA66Up92q1Ae7SRDnHhzlWa
+XV2gf34cNCdPW/XMm5t++zMDmhmZvVRbh9V1TXigbYDzfOHuLOX5dMyLN5wayGJsD6yY4TjN98E
gXnYQrSwXaK6DtL5h3jZ6uosC9CN09YJ+C5JDIro5mlotl5HL05TRu233FXdtByYKqv+Ho/DPNtp
VcMpLi8G2Wo/OlAH+HVwlo1VBXexE1pVdZ4C5fZ1/j2PWm9glBdk3kbcbl43MaU3B6lj/sEL7CGw
j20rlAovaeTSkrtp/aXS2bGcsmGebqDfZkVxkqKZR/+jbF1PXwalyLPoxFwJvCpR02azrdd9VEDu
ziwR6OGQS7OV6+Wc9VZenOeiYbdJq3gWBNhJFaP/ubPGwO8vmRyzJQGLSVvQsiqyrjgZVi9agnc1
MCwvw+ubVlHU/I2GgeBwW9cL/bKNOnanqzIwKnMvnMWyQvqDpV+N4XlpS6epEx92FPui7VsFl5N5
PpvK8yJX9OFpSX/fz96ts5pV+L6UVjnXp7DyLFddViOUh+ldUHp+EScaoSKBKzSDn1ePYSaltV0L
UfeMlLVqQvYtUVvn/rXlSRPWN06hC6d+X5ZzGcnjXBIIsmNXYJRuUkLWfkorlHka03YGCUAfbFWV
dN7bwYZP/tmFyMDxmrKO44cxg2CYIhgJGVk3Ggt2kNSha86PcP6kLInWMPldRFY0ESkMcoRMwanM
533EvHqoeOn6fLDu2ybcQ76YhiwK03geOibA1pJvnIfYNHxOvV5qPvgbw6fLkP/YS3rJ0ercociE
jL/fHkeJ3PX/x6mXfZxbEZdgSegdDLfCaqsoF9+1pqDRJ1MUZFrpHDkrWrYiyn3Ac6b8qMfHoWxh
TTBeVr5153zchLPcRmW4n3LBnVbbfcDM4ggef9Iv0lr2CRYYzA2mK3+1eK+Om31opsnho2yxNI04
B6QxHDb9eT3GeJ5+AXDLeQ/qZhfcV76QsZfCbwEAohGaIxxAzvhj9kg0+/xkWFr7xclh/TEYI7PG
pD9z3Njf/P1fHrrDWw/uv3X/c6it14//e5BfPwdS4Fa3oasaTsBprXx6qQr6Fgb+j7dy0drdFo6V
uV5W2PcU4FkXJ/7rjeq2aWCqUXmPJrtsnXiV/t5QmtbgXdyMHaM0uU3NR1wFxmZSYA45xQmKrz3p
zRof4Uhah5mtX+LXEURSJLhC/XpNuVtQo6Wqa4PZuVjHaK/O7ddb+zo9AlpqjE8gCr5x9MN6v/gl
WHPmaeaY/TA5Ij/eXNH5hPnDZhViHK64Um8f3teJtI3ryFlykfuvOIXp+R6dD4/Z1Q/5fuqvA2pt
M13xtEMzJcKjZfttVV5uOM8s6pztIJJ9nIuxY03HZbYjH/3M/S2m0NUvtLdbpk8Ph3C/eIOoOXjX
g2XvP+hO+4uYsoiXukUXDDFr8/fzb8cgy+cHhPx1VpzaLOJ3c+05mXdR9WvoDNfe61wpyj4ewvPP
IUfaZjidpfAqfoQdoOPgpSoq9vnJ0VtgP5C5oWs/KOhAbZHafSY5OJojHmx+GGoFtlkDGADZcJvy
8TLssn05j+yvvFetY1BGp4pkcVmvvBhFYHcxCHS5dAxjUTdTIvsM2JDu0cjn80H3vJA0+vVdo0f+
vzYzuJ1vzw5QkQbLr++mapCAArMpObqTZ930GLRyoQqgg7zP/TkmlJenxdMuESYysD6jY92wxTbH
xWpl3F/6MVvV8sWGC0q8yequq6qLn3ByOdRoQE8jUptOfV1Fjzkn3IKc4TgjTGXN6C6qGbBezpXc
Hr086ubhQXtzPgcXw+ulL3HWM0SeQovCFVXZ3PvHYLMdotxgxD58qMP2WQNetU/xV/w06quZEXBG
d7/eoSiQm0EbWzWf1wXoo5UU9QauDPm0auMEyGINmltPOYZPIP7fa9jJH3vm1SvIAhWmNvI0ttpI
9zKTeuM34PTt0NvecAU11L6g9XaWTkXp2yDl7dp0oAlMHdpUMMahp0BXA4TPqgjixsELJJLiu34l
0pQnar198NAq71CBO0YVWHxZtxlfR+/DVX6ZSc+kdTXL3pjiLvbKHaTsRgLWbVhJLxg+CGCsVR4R
6Flrfgpm5df9AegCuncSAgIFTyLzHEpyNsOYm79ZYuOqgrbZt43Gl/t0M65xmHyvI1kOHUi0V9iw
ha7mzW9k+KHaxtm6NyTToAqb0nHwRLxlflmz2hiBUtj7NaCPsQj+lJc7SlXDj9yxgLjpZvUUxGuu
nRex1EF9FyBkXOVJuF0/WP+aC6dc5JEdzat91K/g31Ya1U5oHkEk52r4ZGe63CV2/urly8cZmqqn
v8VTMWn3Sy8joImzqcapQYrlbn31uIkRNWEysjssFPuO05FThtAPRmdkljdl7KYTb1rhBH2LztRy
+Hklr/dSqxKAOEVNsu6X9SPc1PW0x794zfZoQva/L96ib/ZPtD/Qe1nS14dS5NgWn1izdf+g9EAn
miOV+97bKGqpWMoZ2aK824bVUceShbqvyrjZ//JzypJTEolgvOx/eoXg93BqIY9boM6GieMaO3o/
5iGC2WS2WwB7sW4ydi9nuHR8KbOwJQC+p0/EiyAtGy71ZjO/hU3/4Q7ccj/zqqDT+PTzQHTr2dI0
U8W6f63Y2qLcQgSwrRrFh+o1YFWvQKNGysJssGq9g5C9CYwQhwYmGBS7XAeoIMfCV1zzMNPFm64K
N9vTuFwsHCOc6v20xh8Lzuoq9pFE+uO+yJW7txkP7bzsczKUaNiLxM/7tmmOOSp8Zu/rgIAD70Gv
wmOW3xW9Y5XXuevVYfQX4OtNQQ+WQ3xgBsM3CAPnN1g5HzC3AK927/OuCzjrMMsWVsPcEWY19GVO
op4AXvJkKvR+7n+p7n6t7fbD85gwvL9htvNAsLc4qxmXzpr7EKjqNTSWYMCcBXUAK+nPh3oDNLGa
8BCyORaQFf8P9rL+H7QfZI46kqSS/54jdrV0XaqVFOIdj8zaZ3cc5PtNHYuSO9wJI7hlP4Pjn8/l
VwjBh4AFKuRAdwpohzPP3V/PRU6eC3xbZvdIZAljhe/s+XgPYdY7bh2p89/G+fcDuvjRoOWKYhdw
MX6DK6JXhX4LS/6jXlo2iqxix8eeAikksOaPlf3nC3zLo+EKwW7RLTkuj6ukHfXmgEtdiqwd6uDj
z4gx5xBpc4jG3ur7p0X00QR1Gh3Vh3H21vLQjPgtPAnPEBqsfoOr9xdUzvl1pjPmlFL7kxo9pEfY
v71lYa2xbc3h6umP9euimsnrWOPLWEniehFNBbcgF+PKyow9NgdSCyvfTwSKtx7hvWoq+5PfeJ1v
JwuhZU0J9ZqPsz6kc1esHvVkOr/2s9RrmP3zsL69jdw4YeMRQccEx87obZeVfVcPiDOnu7yv9si0
/UiEVO+344fVikbxX/lA+TRAAozyuJH7f8ib3oCz4UI2woMvx7uf296S5bpMbEj8fgfbnafX/XfX
B+SPhRHXF2H4L34LB94sQaKnorx73ZZIkve7EVY166Lt9b5h/PmAex/nVyoS7SfBCkT4hszuLZ45
r9tSmM2vLsLWMpWfhg3C66fAsGD+tgR/PxS3LqLt9cOADo3xr2u+wVVhHbMgu3hNRSYfdIR55OqG
lz9f1U8qxj8uDKyQQ8UQZH405rEq+fVotk1fJizy/mw21877o+svOxthxLxp7P7Vby099LTrM7BV
NOxon50gGfC7cZprdmsoOFnaVQrk58YVYA/2+wY3nKy7WMkN/O5OLkXlLGsqXVpOX3qtG8ogU7qi
1cemHjd3SO3ODvrmEBkfqO3GW5zOC97Hr/28KqAY8d7JFo32cluhtomhzIxTUDhgInjjeBcUGmGB
ssQqFbfiZ4ISWnwtT/CD26cCGTqUwyT4EcZeS40K3QwtzxyitJ9SGu5pwDy5FgktMkPqhNYd+QAp
VjCGd15f78mc9RoBFc1RVrutImdDJd4PjbMlbW/itjgEKqxLzIN+Qh6abRNNwmsi8yODorM2M76b
jvZNPNQTyBK1RYUYQkUdh2wqqorpyqZbUWA/tDQ8QewMnl+X9YNH2ht7d8E6xALnDgT/OxjQTwac
dX2tw+J57T0k36jxgV1BYEK6DEmZD6hpU2tEygBRU2PY57vvYx2rcD5mmsWtP/lrPG3dJ/oNe0eL
HNB2g7tu6GkifIIkHYjsAAkJOsEpN9pxyrRxSDr/tVJ69tGVHyyz++T4yzpEd8BmUn1o47is3GPZ
9pZNJUzgWIYUF0Z66ce2W7m3h3lxN7MmtgUyMaWkZo6PcZ1Y5XxTxf3Qbwnt6Lmgmo4jQ1+0yO3+
DAd4mF8Cu6nW/CAFCXeLvUbbmM8tyIs1Jjj27S23n7FI0w/PgpuoIW6XpzavAxcx7mueBfC954mY
nOybzuvUqH9kg21YV5RsJoYRo5LJ2EHj7LqdLuQ0XCzKkrmypvgTQbyL7lUbW/WpKfzMR0qWzff+
WvjlYS1meS7E5F2gMdguG7NMFyAZ3cfQBG66xH5+FxZDbYMZT+aTZFJfiMzHtIPVl7+URtWfM7vA
wiJ20CxFtTecKXaBlNwWpZiyn7qK5djOKrgJ5kIdQpHn3F3bMidshsSx7Irx3VbWg31k7x6O0Wp7
NTM2aL7marx3HaGujbCy62bqh6PfA0HDfckusK6JD3k8Rx9ClWv6+qr4VvRaHupcZckq2vbgy1hf
ofRqTqts6QK3yhf89O5ShG9FeJr5ycuIeuwFmeJ4hvcgv+m4qs/V4tS4GsWlf8pLu7tXAmw+qYFo
+sTyuuxhXrbouUbvRSk/Np/myC2OtjvYV5iewejsLMu7EcB0JzP0PMCpDOUHwMMCvtLgxd8cWj3U
M45yPk5umRcntbbW0emb4WM/CQAHQsGhX5fxyuvNWiV+M2OJFMYyjz4XkxuvlzAQxq+9i6bs2I1q
oMwpmnxNJh64/T0a/LA5WNIyV00MHeEgnKH8sExeRZ3UdNd+Pzg6lagXn+2yVzdLKOzrPnD2GSr9
vYeaTfPVQjp7a4fVdAn6bV0VlZe7h4jo982ZZ69NNiybcspmZX2ZlZ6/a8taUrdwtmecXzoXRoGC
Prghxk5WpE51AmPKjAe1zdVyFYyZzhIUJdDznZBATEmVTrNXe1eYSNfqyizanFw1utd+jZwBpPfR
n9ev9ijlnXBYPlM/DgegRRsR39JMIV5OnQf1emjvVC7Ml1Ut5GQ27e2sT8YKDkS1O3Xh1WGNnnim
M90lnlu35w6gIHHxyviwOG31AQOyoUqrYcgedL7qz8jxGjfRy7ik0jGqTErOj45rBObGwlty7MIW
mO6x2+c1HkpT+Vw2Cj87HHweoSTrRKnJ+RDTRLhUronS0djyShSteO6jYLkpwfsn2g5i5KBySORo
aSrSMbsJIkSFGNhU8bPBsMQ+RORnZeKXvX4Pq7o6EegR06IBCi8Gp8vfw9OB2zHn5sHtWnWexsU5
l2oKno0nH2bq5IdNY7R11gq3r1I32feVATnnQziOR9LA9R49m4/aVmg6tlU24LYxTZdBXKmzJg91
kEv28UPcDvGLh0rxU2lk9zJt0/Z9ZIIf8INzbwXEgrPNTnHQix7uyS+txJ/b6cYyffW02XhOebWD
y00LnHyXr7ZgL1uISHZZROBBfhVc4J4qU9W35bnyR/MAt8vj/Cf3yrFb71QGXv8FXE6/j1u0Jc5a
x/dNY7brrC/1cQkJuZTBTXHXCnu4MqOY37e9NJ8MVqVfvQrhVuLqdboTa8PiAdN653jDeL2YcL4s
5sXDjwTt5FkGjThQHsOwBPaILzckVjdS5ubDhm7xIQI6+aK3aPjEhp9hNmDC282xBjhM2KHgDuXf
0OHGpG1oMBqLtrX1mO+mPW2Z1b2vgODfZ0undAozxD6ZGUM9NYwio7jethsTi/EaolIFOtB0n7Ao
ixtidrMcvbCKLhx6fumkNvEumjIPZN5Y3yzpwkG7WX2xFXG6NljqIN4fgbSjm8r3UGsebZ7rgyNK
HSt5M1sqew/KUt8hEmkf68E88x08+obCeewbMphyDMu7JS6hX/rKKa7iTrlPoyXHOa3z2b6F6jM+
FO40abQdtSfSOHfCayE7E51iu2njqyaP1IE+rsDwiH73IYo3jJTKbYixmvJke9dZ9PuvV0uHjHVg
z4O50fFEowe/O2e+bAXSNozzrA9hGxcqDRaD4jqPlfkIm3/CRw6rp/y6KaquOFim9SEhSulY53Dq
++0j5k1mzM976mEfYjRhdVcxat2cVVcVNbmpUyckc0n9ZpTTLWhJ2acos7JPM45Ba9rZdXADXU86
h9khRcQ5yQ+GR7+g+jPEEaMGPyBxytDbyotpCMIr313stvy0eat0EaIu2o7HK5dgZ19Ggo7AWeNV
Zg751PvjfYymF1mKi8LVJMaSWV2lloiX+8KDNZO4uag/dKtjbeeZQrNM7VC79s0cl0ubugYc/zas
CacHCHLboQPZuirdAQsrJ6yu8IFb+vJdvVpBvCGJbFp7aQ7gNE21s7SU6zfvhkGU0XBYgzKoXQB2
pF/HLqK9mY7O6jZHgU49v0EZU+JC2ALzptuw6DbxmpXGTziW1UVbCL87ZjQKb6sCmPSAkHu58DLh
RIcgsvMQSKw0zmWVYTGSqNEP18Sd6X4HgzvcoYpYwrQppcAPTlQeUByY3aODmvHbFJOaeEat7rnr
MDs8Ygzmjkg1gyW3upTePFS0OQnz4ONqCVzEUvTza1GnRFJESNw8q1iKrwQhHQXHXNUq8TPtLKiT
mtAJ86Nyl873bx1rCsYHmrmNvCh1JJ6zaXratjx7yHL1lMXKLxPKhOZ+httxlJE0Z5vNwyZIBIb2
V7hd12gO74xXjKcpN3GqtNrQ00PTxPSv8Zt709YBatoAFV6ExVVipqH5OmRyO4VdTRsvW+QtHcbI
Th0k8/qwsdmI93Gfe/chBCJzKCawHuYDEwatSDF/w5yj+qB020fHPgyzm75r8cvQeGEexwVH3EtQ
4yxMrGaJL5uu1Ae31fWp0tK/byvbOcYD4rBK+tatWy3i2lU0LbsMOS7qT4zv8OLiyTg4l523xUUl
ihysbg52jE3WEX1idwd/cB4ulZllEvezvaS6yjAkC/pJJbHTSDikECLHyz7g4o4rIPf9huXqN0nf
W6PmzqeDYVHOybZW5o5dns2/QFN2QCJdf+MU5Ed2nQIriDhIxxZNe1lkzhPI23KCtBOfOztuTqEK
y/dWaZt0Qi7+GaO7h7qECZZRuJ1CV5ZfutkdOuTKXffFw/P1CjmkRK5sljJKC8DRK6lcLjqzQbiL
ZUopdr13JWXJ1TQ7xdcq98KnSmbO58rx5puJzu3BV7q79ICMHwHf3WqPaYtKvNLWt4HE0RRFb45d
lhjFV1HtxfDaNvuujfvlSzfhU3msg2J3KmwoWS5bvy26tDfFMtBr2vC30OFcOqlXE0eSwCpK/xYL
V/clz/MBDXbNOSRlHeZRWvG7KfAXcyJflX+JGtoNDwMeBWi6LbbvK/wOh/9RVG15WinPs5/YeGeU
8FY0TxcWdqeHQZXWRaF992HnDZycbcJTtlgt9c73l/JlnCLF9kDleepGCRuqk753Q+vOXCuUjHVi
MlKam6Uf1UvlDkuR9sCMU1JM9fJ1GFbWCouSOm1UoJjfJrpWqOHKacK8b/KQ8OoMylSxbCTz0Ea/
Cyik8tSE+XAtVuq3xCIdGQ611JZ/tHQD59feJv9x6Osai9dpwSnM6w8Yk2r7bpxD557uWhTDCiKH
S4JhzuvzTFKFjN9uZ5SvOSJwvcSknrA4rO7Oy2fHSke5M/HWxvbV0eDWlu2MFCZRKvImL0U1nbIp
oJXSVGlZkaSZ417GYqq2auxiU99r5fa57ce2eud2ztxjq97LipAWB92mUuPgYbCeLdstW4FNhicj
ZLS68J5raKMWemkLk195omFWLfZtlXdBF6dU24tQybjlTY+1GRuuvx5y+ldRnYywuQXeAdMqm+p6
jaTrYWQwUoBhEjmBDuHYAc07Hk9mxErnc5ZVossOeLCb/8femSzHjWxb9lfKag6ZA3DAgUENCoHo
2DNIUaImMFJUou9bx9fXgpQ3X2aWvZd253cis0yJjAiEw3H8nL3XZoyCG8euumBa2todDjG1WnUe
k9Eof+s3A7OzT9A/ldACWmZtT5GAljcdG4RSQxV2Whoie8jGJud7kAZyqTFDycwMYELmzsf/URq+
ElzHPqt06DfJ4nx1mDIlT7+atUazDRyGwt9ao5YZLc011r5tdI9eYJuDcB+u6gOXpljcI7rqlfut
NXs/fR2bOTEAO3o0ugxOtlE2uzwi2I6HlzGhoeDdDBSUy53IfKHlboz7sc2PK9Mtvi0eeVmdvdve
WE1l6BTDqKtre+TjrYAGUFn0O0Qv9mbdHJwmdfcuQtXUvhLj2OoaHRJ0PH6nLeP20DRexn5sgFrJ
USHdWoi5KN0bnx0TujBFlCeP6aBKrRu6sBOd1HSHpGosZrmPq0Wmxb6ZUdz49A6q2rtZKf28fWQU
sFeCYYr8ZgxM2fpyDyzQlkfmfuVL443FZwN1zRBYNeYzgCjcO3vUJuWHwJS7MqURSZfva7f3k3Dq
0KkswWq1DB9XmFE/VfZXfhpPDzRLpxN94PQGzqq9yy13vM1Mrct9Y5eItSafQXBjFE+Zv8zq3FLC
qcCuGi2DpZrz6tgNAhXj4jVzhTlnyj8acCvgrzpZRrDDPDmGg73qS58a80KBAIGSCpQTYpQ1jnPs
XDmUYVR6y7uxRotuwE7PrXnx8jR3wjmtqu8dILYu6DOoyqJajYnTCJTqZE850fUnYKL59BEby9Zx
oaK2qt2aJ/EBn9YUGYdyND3EOVbrV7tIyBpTrhY9GOpavRYTiOB+pyIrrnc0FFOHE6rS/V3puWIM
AdaNw1ekD8gmgq5BZbdD09FOFEimha6I5tZdzMkbC35LHX67MHADzGbnaq9yt7gyYly2PcJrzBVo
65oS6Yalxz70KsdnJGUMyRHfAl+MWmIjsNHWndqmaLPdSMPsfUWwwNqI/MfREDWfc20OrtksD5ov
O5R+5Pn7DG3FDwPxEs3DrIlvDLbh/huHyzl5VFnZbVWXbaUnKhj3qpPKSd/ZIm19tCeZXerZjm6R
ScbAYU2uvDevC3I1MhKCfAX1ETSpmD97izM+zCA++QjY2DYPe1mzm6oSs0Lu+BeT9qEK/ayezyZN
izSc0cZ8mW2Jj9DJe3mqZJYhT+ycJxhK9WGwKvHV7XoTkio6xKQrVhT6/Qrz0XP0HZ5KKw2tEVYr
J5QKgbyfTj6gZahgbPPVihw0juaFtws1CGkEp+FdUwElPzAhYs4qbIyFYTzZE1uvgd8BGHKjkBfa
cd9SFACUv7XHZryJgfd4oXDiRh0QQjTP86IGVMdDxadEDaC+yS7x4GhTgN+3xlbx9gCxYOQaGkaz
m0c+cpS8TZOQB3qG8op2ycNa0gEIVrdp3H0+IbALbVGm+7Vd+JnYQU6HbKRswslufpt7YFNW1MOO
Hhz9qtgtputlqLomLNrJu/QAn0deznFaDgQpXaDSqm/tIrKuvaTIFTKhSJdBZ0b+tWEk1ruGWnu1
GE3/gFYvA3btWW+4YsaKOYPy9Yadzrqdgnyjw3HWWU+eAjyT/ZikXsH+29nFdWZa2jkM7uy8GBFE
nTs6Vzk8U1mXGhBHab6mPoqHoESIcVejMBEQJBzNocC3cDW0kXDKfQlu9zl3lm7e8dykqqM+DxO7
a73turn3sz3ThratOrrzitL+2qKyiINpLF7tvqy/dgNEZtLL6D2iqEQoFU8s+aJ7jY1ZxNRWi7Ez
qDxuuxF7T0/f5VsVj8a5y7ipwy7N1f0wDvXV4LR4PTqV39AXUCcjEt4LHeNUsQxi972xVnu/SNFf
pk5bZ5ItBmuXTd68VWuiRDpT0eJRfe+dejup3HD1DQqnktCJI2DxqbjglgVrSnMr7FjqctfaDuhf
2zevK10naANnE1KUXr5CdzaDph8F1kmYG6VXRL8hKxahdOTwGaZ2ezQBy77XKNC/Cn7ECYyFC4fk
/yueG+92Ych/bKaBu84b3xAoDw/NKHQUgMsXJvfB+gA1Bpd7Z8ryyPOgqzhm9HboKcQp/PTN3Frd
l4xmR+gtHFRasoDWYEnM+sXwCvmUJVC8d5Ku/rlpKth/AUrL3La/65Huf7fPG/pB3TsPqLycQmbg
uJi+cqIFnnfpZF9L537IkpZdvod3hzapa/E/IxJYdFa2zBoYONbgZpDS6CNElk08ZddiGZKzGJMy
W88IufXwOUqX2fnuVLLOT1ntlYPcRbITgxF6kyPnjs0rR83CTAt9ROabqStChHfmStnoQRLedbnb
ieU86oUuZuBai3OQspq9b0B6BjaVtskLACuzchIBl2Sq0CmEhnbjGEGLRGOFHJkyHlWVxgvNTYOM
XQLqJfKk/iFaQ6s+ZKCJUG/fN7POgYqsaZyjFgIFtInIWYPgx49xFq+ifZxsb+AIk9qL23UvtTdH
UxYyiPU492EZSpfsLsvqHnoGYHUwk3vR2GPfvo/5Opk64LfAPQKVJynJgrVJ2BlOEX7mzN/Rsd4+
iXRj4RfHJF7A7H8ZjXi1HMhIXs7foYVX7nJtDD0H5utM91Hh7hZAE2o6/MN47q8GERSmGKhhYFJj
MpV2ET78dThXCc4c2dL438kKQF31a+ptubnD+KkDs4Lac/YmCBqilJ2lAtWBvc6DgjlKvxvsalGf
s5+Drv/5ff11uszbUszpsasChmF4yKzor28rdTTWpDhVH3ndbIOW8pfwAwx/wUI0asZl/zCo/OtM
fntFbNxcjc07zMj37+wXmobeIPBL/ICOuL3i9EtVYztVx2geHLscEcFNYjGwfKQZw8pfX8V/aA7/
kMSGc2ezJf1he/n/eA7nouChkfZ/Rjn8/kP/CmJT5KZty4SkPRJgACj8AR72TcDDjou4x0dvAu2B
G+C/wMMwiSm1me7zraMt+AM8bEOHQPW9cTJdawt2s/4doAP7CMv1TyNwlpQFJH0TflCvofrYFt+f
BD+pm2LpMPvkamlNKFlzUzuMArR73bTKIIdmMWW41aZPTd62GzrQSaOdmDxnCeMeE9Opoy8Dsawu
3Kt1VRKKPpRDdI9CLI+cakp5NDOljcccrfiXFpmaQ6/Upq2j2ToYLlr9dFPMwOOCgrmkFYylWCW8
29FF5QtdEGNet55Xcx0kUHQoQCs6h24/oRhMdvZcR1cEFUCbkZ7RvvuZVt89istw4CG/Z8NkokST
bsDqxdDXCTkOSOvGt4Yk7P3SvZ3RQwXlNF76AqKh6k1I5eQ3Cxoyrpk+wcXSj6Q6DHco3MtLCTCw
2gOiMJJdBmjUCSpHxNQgWXMpHDjv22ljb9LkPcWz619ZRGdcm4l3BNzeGUFSp/XBqeB1MtTJuZiQ
ssxwcaL2IAdlfSl8Jqsp2v4n01rcvZ/Ib/GkaZrUGufMatsPo5V156mGrJGY1gM4wp7gFBettAa6
v3CwerCVgXazmi8If+lAFwU6XjxRyXc3spqjVLW961SVX5slLHoQmS21CpwEvLlpfNszAL2bE+KS
8A+t442Y961VI2RouvK3DBH1YcqlPvRO6sH0Uf0Fzu93J4ogs4KS2blGgtCg54/EWb/40mBorMpq
1xQOjS/c3opS7ynrevtiL/5ybTOAf0h7HmpNzsTXspM3p3bncI2X62LrSzClgRhtgVPHuWQ8TvVS
PhVdXu6qvOjvLDtPdqRTILH080dm5XR+F1jTKXfs53wh7UP21nKnkWiGzeJYe9PhnYJ8jEMxRfHz
6ilYrSQAMhLPqhpmXJVlHc/Lxry2k1ZcaTF+FPz7+xjL0KOCg5uEeon8i2IHfoTSRfRPBxSWWI11
vZOGPeCMn4xjjhz8SAxEdWFOSFKdOw43Vi7lRikNms6WB5Nlf1sv9vo6dRyj9gas1CuZkRjSyLxo
A5sTVdgSc3Icsyg+GO147SICx37q3k4TGh9OBBUt3trLdl62GCe7QoCI+r0h84CKNBgj3H3uOrwY
jOYThhZeqsUhYo4yAVbs2+qrnsfsgRL63hiKFxPKbegX8mK2otiT5Pe9b5Q6l1n9guC2gpbafyt5
wB4IMhognabMT/Ef7qrtm9IfzCmgrJgDBL9RfJGwG3eT9qNTM0/G7QxGfR+NTRxipX1lM+zvraZc
DkbPCazIY+es6QO8SNeYd0tGMVRGnWAaTiRRZlypKHECMCmvk4ra/ajIdwCdYZ2z/gpT/81QUsG2
AzP1isFcREoLzmVGKLIMyyVD1jI36SFHCcK5IesvJMEVj43nxOcJISkpWzlwYN9dHsulWI9ENVlh
0zTdcc0X91Z20xVS2/lMdyrKmdX08+Ms6QmZGsIVXuO7WZpJxQ2GMWkWT1VmEN8StmZnZQ+oOOzy
BoXoXdl573WL+dB1V/85s2ndSIsAhcRLowdcT+k92tY3/FjyzPGipfgz39xmcpjpU6Z+6zs+siiT
JkQRYV3HRUVcF2MWCMlxQYdaFvuCQfiDZtsNkoX9rqhBY+5Upb+tI02jKWJ/nkbWYKoX/c3XS8oh
NBXtU9uBJRUubmHGFPd1mUg/mPxibB5iJzLPNn2x/tjg8myCwpkE3YesPtOhi+ogRbYY1ig/LkOm
fmswyu1iC3bwnHgFvFgPL1RguIMXNIwMEN/ItGSCsMOojUCILphBU5jIMXJ50FD8SkyofuUnJL/S
FPRU/eyvJiPPFqP9nhsZPr1EZiOui2S23Pu8QzIUZJgI4QB62XqzyM59XHhgP9ldxC2Szyy9czdM
ztce18lVspa6D8grcd4HVj9pFthSkp1pREoGM+KlS1sYCCQikzSm2hLeVavp+QzwJRnEtsOZ9mx8
jyWieAJsQWsAGaY6JjmY0h1I5+S18WS/n2jhnOA4JkCKgK+ARe3oV8R6kDjROjJNlGwU+Md5jM5T
43F/2NNE93RZjceGrf03Om5MMPAXz7cD88YHjfpNhMrVSxesZsWYOXNwBQRyWccvdNnat7YT6SvP
5LgK5nK87e21vI/Qqv8Ga2akJVJE9gWf8fTFyIv1rhTqrEy3+FGWtvvhYNtMgzShaUebbyr2sS/T
s8OppWS33fXUDzokqccrUV5wFYMMYuXLOGnnpnD74oM5SRZdlSN9zgBn0/wYtdJ94Tni75nsxYdR
a4uxDXlgEdBePCdnhhLL9zxNfclmFEcvfl5NDwuKC1alToyHNHP7hqyhsnvNdJTfkd0Xc5bHkquI
wgG86dN9/ZBDm1/oEj4VfQEfO12r6JybJAPhkOJmZUTR3q+t3Ua7fu6x91t9CgdXw7O4bZikvKL6
mH+gVWm/ESg4HQBcMiw1Yj/2g6XVxlVnZtND5bDfgMztjO9SaKipXcVkwTY8GoVKN91JYRr45sdL
hXBrjcZzYw72HGZpRuSIr8rsS8tkTgZebQ+XTG6tMGOx2zt3aIoz91yaHUdLNBrV1wIAOE/AmatO
vEb+EEmCbVBfh7jvnONYyPRC91YcabcpNA5jxcTBk9mR7TnzcByA/bRzS93oeWivTBTrnJClgHdK
h7DAqBFsM90dbU25bwX9H5eZ7t5JKl8GZt88mmM/hL3j+DeFMY1loKJ6CBeVNedeSY7+ZVERRNNl
gwrSeOzNHRSN+msOHQeyuYQ+h9mrXX+4FFC3kZib0Lbcd6Cd/meVVOUbQ8D6YCdbN4UtPio5/ea1
sZv9nB0R2Zw4p7Aubv1Vqm+T0xWnJml0vLNiZ8Urb2v7Xc1dcj0wsH1hyEgPzivtRQZtN/VkelkY
KvB5kPe0jsgYMjvRtHyjdkKtlphv9PssenoOc1cZDY+OP9C+zeBlvBJOVEf7WMwja0n0qOcqZX74
rdUyky3d2Ljy6iz6mvpD9VljJO8PdpUs12M/6iORcQbhXB1zbeSw+TmL8wexjunXtlJ3sZ7COimn
HaO5/eyNNHvRLT7KwWeipFATxvgX0xAEkXXvFtSGHuL2Y+tSWARON8l3X63gp2TdxBvgj/E2gz1p
BKZBYtjO7FMCvoo4vusHa93P1hqdLXpVRyThQ7g2dnEYhRhvTCPZu2NX/kgyizMiLj71w81SYpmm
viJozx26z7GjondX1tFhqgXeXr7Ntd/RnBlvE2vJzzFlFlmPkcPYOe3iTGJxl9lHw9i2CoB9V0Fj
JAVbiz3f1lGbfCmipXhOmRgcRepAeDGj8aZrEHywwF3SdTpMOrGgRiznGBFdaUCL69rx5KU+/dTK
ivOvSPzNLkiieUpo2zl0FJvGcvdttK7XuWE2V7MrzRs+YYHwNk2/R2s6IEAcBkJ4WsZqvl2d2wLb
N6mLXxq9zOPOtMzuLbZb9cBQzvhh4t38RUn6zyn5n07JQgAj+O8Pyf+3eHt/K9G4/1dYufnzR/51
RJafKPrAZLiI9U1OqDR6fs8q97xPEnMEqSAkhpj8yen59yOy7XwS6AOU7wmMKkha/3REFp8s8Hdb
wgh4Uuhm5r9zRP67Ip3fsrk0TEtYm0787/2ezKQA6m1pnHzDkFmQZno9jb7sn/90Tf6Rl+FswEBv
S2SlRWAL2HB/ayutZt9pJG/GCVuH+QxfgEb/KLz7khK6/IeG0tY5+/OZn9famKKUECSiIG/eWBJ/
OvPzXeBlJTLipM3avxduB8ba2dIeVkHopVtCkv+fP5xt/rVrtn08ugyu6QjaIybcoq3Z96eXXPLe
ob/QRadUdxFitLYebpBtwuyuEaKRs+aTRkrYtm0dxMiwhUEqfLqji9KiOrYO8Q/ORCpBMC4VbWu2
sJNfLwQtAMkW7xX2BARevX/8maoxr116LF1t7fC2VpTw5GsU5B0fC6MbPptb5gYgp+YAXy69izQo
dxmDLQvtuEqOuqVRT0QvuIyhLx8t3JI/kEGvL0kuuxfVxLcC4ux+VkW1G5HYnVb2x1vCiF1vl2T2
+Gj1Y/nbaq/1/WrP2WdLpFlQiag4OG1SMULhmQAMfD6JmsNou7bW0ZvIn+sA1uzNBM1HMdj9tTKH
+o5BH40UmuZvooiNU+FuIp7OmE+tpltMAehHLk1bq/7eewAu3bVcEISuyRiIdmbS1HnyIHqre01z
kvPycEk4szMq1DOe2le4t47ub8jFyQ6qIg1yN0es8x1RaGz1wi6r97FTzWsGi+BLRmvi4tMXTnY8
J/2PzAOuEWDCVdQGlq5z/AHpcugmjzIO21PynieF5+zQoxb3okDwsUNDX98oAB7Xmrn+i6dX0ElR
2iEL2uS52YqgViJMuccOeyG1TeyiJdOXBK/pvqckfwUkMx3qRQwHb3INAiygkHx0ZZkckyr5rrus
CWOMfNex76FaN1cnKfc9FyepouK2Lcr1C0BA49EGQHcjVkyjQb+YOZqmSRghKQoRp84adyQP4XME
Xob+cgWBXac5cbXx+BH37vCem4Qf79eY8zen9tS/4hL0sC/c7+1Q7GaEMHdVIRAtqOJD2GCot7xv
DuNLkOfxZ79n6tJGTXE0Go8+P0oqxk1zhUVdih0wDuq0ZrjOOMCitRhizFPCy97waUX8Y/XNjkY7
RMih0aO67SWaC+vGTfoHZ5lnM/A8JVna3D10OyYokhIDgjn9WEplHJzOGG5BD63vAyBVmkCN896g
Xr6nJ4M5ax2GS+sMAI4H74IRN92PzvrVGDv7zloTa2/ptb8z1Eq14bvzU1VBno9NfzroUj5Wc/lF
EXtqnVIUXJMMBlR1+nvlpjS0Is6eINRHrB0EA3uNlQUr4/cwj8ucQ7E16nyni5ZoDW8u9HIufKJ7
y12CuJHAPYPxw0vezxwVsAGNsJC5EHUbjnrqs2eJxT4mb5hmoDfNz0oPyd43exWHDkIfZI8RJqzA
aQW51INXVceZIAb1dTEkMBOcfRb6Jm/uRZgWhvYOfdanLQVOOeBsz+c1vky5s2FPmnSK74itHjFf
YxCZH2L0USC3G7ftk2ufGEQk1ZjanVerQTWL+6uKqL1gCvnWS4Z1mrxDHA/qQ3F2NYNkgMtxlWtQ
jd1TXuLwYVzn9/mr4TT5k79F1XSiYhuuS+WcJkGHRkXa2LzEVqSDeSTaBKtSLYJ5nQhTgdnvH53B
RvtkRe2NuRBPZJUGrc2FyAAdlltOq0WwXEbrZ/vfKnKjJ63J6nCtCt1QxbnygFLSPtcFPpNglIhs
CA2R56YX5OQs5MEM5bhWhNxE6DGQetXXrZTUvmpSRKyQ4x4SvY26Z0v3qXrhkRWgE6alG7IafW25
awejelrJWEa1VhkjI+tpLh8XWzY/JPOWG95IGh9ybNuowDjnhZAZimTfAfI6o4337wsndd8KIogS
+CYTWLBekRY05wpdPdSHaqOd8XeOMRCU45EpZAvSo4o8c8ETrWX9FJcJLgSiCMg6hXjljty3Rfjz
UfefKvAfqkB0p5QZ/30VCLWj7t4+6j+Xgb9+5vcyEI3wJ8FIlbLN3gDT2zjk9zLQFP4nJiWMBqge
fo5K/igDpflpI8BjwcT7Q+m4sQL5/obk//zvbVICf9nHPoxNX/FL/q0y8G+DEgEvlwKNcDImktQz
fzdBbh04AQHIuEbg0Gb+AeS2p8ev3eTLqrvKBMe5NsiJN0iyo+ph2jo3tl+UOMxKaMBqCOjiyya+
2qQ2uX1bGQw+ke4i24lFhlqGu4cg1DwbluiYe6mTpjdOPE8ciTjTktdNB2rltT6jsJrbNSbino5a
csPBH7HEFjivGDB4tKIQHtNauLKZY+L9sOciJRE4iibxav0MiEOdh/z5ieM6NeLek/GsHr1kGRP/
Pk2H/YxaCL9V6eEH3JEIvjUUxw7QIHUD2yl4rLr1ml8F4n/umn+4ayyWOuv8v79t7mo8gf9r99bV
TBr/cob6/Ud/v3uU80k68A4wwjsomjAM/HH3ePKTbW3nKmpv9lFusT/uHm4RKIwmRRGnKACVLj/1
r7vH/sQ/Rc3GGYGqnZvy37l7MLX//cxhctrguOEwtTSx2/7tzKFysvQY0GenZfCIhTP9PFEhNHRC
uSzA0st+mBrKYA+KkHuOLE1aUGVVBFgw4yKW3ppdkGk2tCRkiNA825NRoIntAvQWJVzkxO4/cCB6
NzpKeGjVW3CVw+NrkKjrAm1hgyka1z5P6WYmnAmZQZVWUJ7xaPRuiGSuX1G9k1RHYchwkTqgCebK
9G7MxJJvVTeZdyW5dxRqCH3cADK21xwtBNPdHpP59iN2BJonz1L9YLWD/zLaJi88N9gFgqH3lku8
OP5LmZrLBQcw7NC8RNEI5EZ1BPlVeX1VO5gpr8C79x+9J8xnGv3IbxgwkHZWxQUZ0VIj1yuW7bbe
EriCxqfjHVhW3J0wcJvPmMWdN4UU5qEGtXayp8T+vM7e8lDZdYfkSGCudEsy1GMLDjL0K7qveDT4
1S15I5uwOOtp+NP/+cjgdzUAvmrrOe2L5tWO2q2otTv+mcSlfM2hzXnT8ZZTMsa8AYdYABDqBa8m
7Nh6zgADl8hageAErr/wqWXOa7L1Na+o6fnspPgQYjLOAk8v44HrCij5nU2f/8abIiaHCLhvsyid
znbtk+SUkn6CynG7nr/S6Eu0hm7Iuub//PpCC4FsJowJ8Xqxxu0bnvTIgVasff+VRCO93MzNFjO3
5BaBWqIv8vTRKC0+Qk20GLlIU8KfHirwdeNkcl3mzOA9JosBUXFGo4z33VAxJfxQInRtSMcUXzoX
zNGB44VRBxM51kk0ciXEVPkvupgvw9o7B10lrtwVURq9rFafMUvkCRNgbDZ2jVlazxX2ptetNGTV
lix0NNqkdlMf8pvWyOJPgO28N1TP/svAuYLZ78x/q2FiNVhdzzfr2wMAAF879pkT/ihvC6UG8F5x
z+IzLGaX0WRx66m5GT6Qm8zxXgyNeZegl59DBUxuIgXTE1bA6BxzFhLQSl9VnPyIcifyGoQNS9QF
PFP5N3UDFOH0M1zTwEFnQ1K1ed8p/c8VsWO0XGz8S+Cz55IVE9Fe/lgWyUsiuSUyZtrWifaX5hU2
2PLg2YN9LomPePUQPOFtw3555Hzq75XkvK+niWmCNJtXjJLRy88lnBqK64vE7rrebvZsW6SRO8EG
skcuCe4n/bDE3Aol8YLXMsmqHHmU9F9AWnPhBnjMNoNpjwUzKkEcXIUr4tctQbBqenRTzcXTpMMd
OT3YZ7Jm2lfCzbtT60DL5Dzjms+S7jEpsmIyAnTpJI5nLXF6Rae4OV2G9vvV8vCvJ8484Uco+TiC
PMq0X/hCW8R23A8C5wHDTm7yPp+4PiidzecJv9VRkzRnBZKe1JnUR59ZYuHfrC30FehWmt9QN2aG
edjwNvenwtbzkLVTrHCsYfHdD/Hqh1he1cklEfIgisy/cdrFCHFyGt1W//J57aWL58NKainnJm4K
wga7kje0wru5IA6dk4vul+Y2zoAOp/gSjjZp6RfsPJL5BV0FlJkFv4eMLnnOc/SvwKOsZyEi8xm1
+8gVLOVyaTa1IcL2vH3NRdSeOKLFx2hIrGeFcPMOh84cHSicuvWppz6UpwVHzdle+cCcUFlRgP/4
opBomM+RWNfmCiu6g2mxKovkqowyQkoFUXvwz3MQJDPfUpFGOGGRbXd7XKGsqQj0zZbhuPK1diAN
3gSC33S3VKb53I6ajENHzxx6Olj1BGPDfD2Y/eDv64pVOvsTd0TptgBMas5SZIjwfjDkxtF+8reV
o0w8g3QxOn69FUf9R4x58JgmDqubZtwzbH//pUsdM7uWzdidRlMJYI/bmgcrwA+Jgc+8s9pt/Y8o
wu5GdMpkqpiKzym2bQ/vUDs8Tq1DXoNIUXsGXQ/XvIC1x3r0NcmhTev5LwbzP+CqP7e0jMkno2I1
s5QcwgTGM52bFmgLzTT04KZhPkiXu6so0OcQe8DlxSN0+HnHlZMnX+ZqWECJtk6XHH7urDV8dPfI
nLd9MVO7ql7mONb5Fweleror5LZLmdOcHmUyOG8+MEpk5cTomgkmOyaUH8xPGMo2aFUCr6W2D8C4
sgP7BbmKyBjZyArqh23q6zUc05KkMpN7HPQaY75jlzMSnpESIojxppk7nDD+dVmBEQwsFeEzhbfi
F4/Y/n9keMqVtysGgxFKmXenanBKvqIN/xfkmJjvau5JTJNsMeSgzvg4dnbbuR91Vb7U4A2v/GgZ
GcVqb16oQ+zu2cJsXTPXg7qM/OI51XFzzTPGezArJSLu3ck+dK2dBiAihjta0/V1D1mQIVCcfIbA
4NAAqaJv4Gn2dO3aG/iEyPkHhQUz4x5A+2SWtPewOJ37ZGyuVQafM3oQiax3vj98qdrx0DR9ezBo
iD806E+yUl0iCzzNF6i/DZ4tVZdudIZ3VrKrbsGgNM/JBRQjygbRlKEFcKDacUBxCLBqZQb+0WJe
bTIJh73ZeAjDc/uQVxYkSZWudGOX+QpqITZ3Q816Cixsc/qgXVqQJ59lCSKgH52Fy5/4xN/J9d5b
BnXVZz6PuXRpTykC8iEoZ/OzNKf61hBudZ+uuXeFlY7Va2LSJC0Ht6eXNbhem8UKslyNiIwncavs
WJCUZjjLGwlY2Wetys8yU21xgyZWPrY5infEqGAMoNr5NAbtiVDFzn9PPNpC/exbAXpQa986TNu8
TncHzaT3JKZ2QsozoCz3GnRkUmZbBmyf3Xpdkulbrpf7kdExOsC9i3iOp2KPQfIzUI8GDYzqjiqa
v8GY3Dlppt5j1PiXxNGQCYvWOuDZwMYzON1jD+mV8qdy985SLt+z0Xo2mH8GuLn6Ww/D72O5aofx
+FgegNHJY+RP6qbxU+w8bf/c+qORoX2iMtr3cNVuhzVii8pL6pM5abD8yOhqJGrjymJGfXL8uj/n
PoCj2l7FjotW7ae8dZ4g8daMtVtvb/icFTN2rIAVkj/INgsVVaex5uY9DwFNyTdVh9gz3HPR2fox
Ri9mcwY8Wch1jt72hEDAgsgo9seTk/OF9fj6QPAtbQiDxr+Fmvc4piUsQfLnLkyMvRvQe8Nna7GM
G3AMqG4MD7BGMFO7vg9TgaMosqz1CrQ2Fs50qL9mlO9oAUYCVVjfVv5sdZF3UrNt3CFWETuevCok
aQIbp6MPWZ2XZHEq9WbkJZ29FmEd+PVyN3VdfwB0BwZQq02Cvw7jETNRsnOgnO3Y/ONwxWV1jOJk
OE+V89EQAbO3BnPemY0ott3KPOuss98QJDVtGNX98pWKeE913VEJpqIKNTGb+wHJw/OGUr9j5+/K
fVoj8zBSS51Ev9jHEklL2Fta86XhlLzBE6cQ7wPl90c2EuJt2nBwxGWa88Lcx0Ankamodl2ySxqZ
C46tDJXPSa39FH+w+cewQywmAZ7ZhHQeq2YXJzDCgjq2oyPhTQYbU5e6J494zBcj7y2Pxx55KEE6
mknYNQMnkKTdKxwwt2nPfZHaw/zSuF5xXmG7Bj5okMO6Dis+DmyvUPXTg2sV4vMcL97/Y+/MeutG
0jT9VwZ9zwSXYJAczAzQh2fXYkmWZTlvCFm2uJNBBvdfPw/lrG5ZWbC77gvIyixby+ESyxfv9y4M
cYKPBcYd7lr4sZAiX3jGYym+jJvyOhk6/Rk0sr+A9nQl8wrlO9XARwgi5mMwatmi6kO8cIZNOqef
tVS9eUIcE3RnA869TRvYAVxxcD9pRsBrg8op5uAWfYi6YKSaHWqOIW5a+1+ipmBRj7BbJnbBGGcz
IEHYahfn4EGAX9zQLhAVEkNsmGMMbGH2zhc/Kdl17R6Ca+gjLI/3pLe65UVjtvx9XlNyoeApO5/R
gyHODkJqsEvahGqrGvUayj2sqAqBY8V8Nq1lupuJn7ynFi1ARkfK8sCgPntz4v8nrcG19fdTu84C
H4IIzwHa9jhGv2sN9oCUqerS7BjVQdFuy7p2ps+LWHr9iOPjAnm0DKhG6srFtQf9Ipvvry/gXaQY
aBe4m2Ot/yF/gqt458o1JtKqF7uLj+5EVsomqnScbnt8eexry9BJTLEZqUPqpEl80eFXV+2U1NE1
3nbWPcZo1jXiC6rKX1/VP3ksARZorknZLnEns39uKVZOH9XIaONjZawpyxO7P368NTXpsMZTd6lN
5dOXC8WRMcTqy68//VV+8O6t8PHEoPiSEhzs8d3Hz16O4hOJsTsXHIUyq5kxo9GNX2a8kGRGpUAD
0Hfucy8yTtZaftMLE9nFIBpIH0JCgVk2hPTGybFbT9CqWaNidORyhqnQi/7mcf2Tl4hZqLX2YYnN
8Kz3z2sI4tSAulQcq2hYg8uxAdJhInMIZS3JQ4i+FepcOenmqRT5fNd0YBVNwlk+raf2rqya8DeP
cMV8fn6Ea3teOAhePMdiG/75ERpuYyw9dcOxhUrDsd6Q010HJPWggXj0xsfHAkjBtvU3YXnOSQ2c
L6qxbouD1bIlh1qr9QzGk/31hTn/7MLoixPg5+P//TfpiTeYEJ6xdj8qGVOhxjVnr34TjGOL8NVL
HV19RDjji9NcU7Zu8XbR+XkQ9nDXw6/Vm2RYu9nmzGlZvNbFFhbQByPlEBULuKV7GszU3BFpLDRp
wXpImWJmr+pCSlOvnfqrGWDw249DaVqO0x1ucesihP3QXUKfJNsM2TLdrHXcU1rljK1F+zmOTp7i
BPTrx0FG5N/ek0f2D1FUK0vjb9B3YhlNiiuLcXASlzXQrpcqOfv9etSpJq6ehT+4nG0f6XVlE3MS
TmXCZc1pv3ycAsnTih2L04m7kNSQFYL/y8Pi3zRJ53j3Cg85tlpfdpuB0tAjjtNjvVJdw9RTA0T+
oWmPC0q7ZePaOeCNzOn/bXwOBN9eb/bfSPRvkGgPJs2bYfE3qQvAZvX9uUuf++6nFs7rj/0DhLb+
8JCkoFkBnF47OEzov1o4nvOHh8bFBPllEMFywXj2v8Uupsv2Rhwh9BdCgbiOv0BoYf6BNoaQQsd1
YeBwUP5XQGjxqpR6u+DgDLuufhzTyNMzTfvdmu3aM6qaOh2OoLjW1iZYcZcsVRC6Xfc4y/yrbw4Z
nllLt6t6osjpHOrNNM352bdyxQndv/cHPz8bpCtcTZDPOCBTqRny2m5aZ4NfRLXxsgGXpFW6jSHA
shdOaW6bmHwYDszBXoE9hYHsg9AL7FtFU2aLOBPrDeHnO6thdYlppa4mX0OY0ZMNsag0t1muHymU
73vqHuSGtY2jQPZVGsrcFkQa4fqw4LMyeC1LZPtoga+Hizs4OCK5xg737gdUrneZY30dWj5euuqx
qNOXOu7gGOB/GXrS5nwOH8Ku1sOYmrB0aptHaWXkcqwMj9Hg9irU6czsCnmk4Z3a1j+xv3e7SPNo
2HFJGC5JwcnyFzs3po2UPMrab/XWbPilpEs5GwEDglvgMZj+qUy13nJiZiUzuYZBCWOXRLCI+wQ6
ZyYg6NSY8m8lpMgQ2cktLMput/4kRFp/kwYYRECRrDbxzCNQ2APu3M5aOLEUtwESnl2h+cgCeSxS
BdK2q9Gxd33DBTlK5ltziT/h74tri9f726CuXuaqqY+N0+IFFM3Q/SG3xsAS8XNUIGTBwuw+MM0O
zKlQoTbhdK8iU4Q7vo//PwTTNgv0PUY+OVQkic+YUSx73AuW4+jz9BzNh46ud/It4/51kKTNTBC4
aDTwDOPAmp1bEBf0pmaA7581hIiDhhD3kNsh5aLiLBcnx+CQa2VwemtMu85eAJIwqHUUdXwvzgbX
qbZygmu0vfOGJAtlJHEEsBlYfVGqsHTda8bzyxQgwYaE5m+KMf3K9sy7X/hTRvWxIbiu2o6dj5fB
UPMz5aoYsZS/tT21XGFVGACgtY+v77tEOgCay7DC5HvZxwlDBo0ir76hc9lzpqBMjl+Y5Ixq+pIb
P2F0+h5DpV7nQtx086eCfMiN9DHRsLgQZp6/GVSeXmPrdPKEdz8vvPmxYZ54lOvnkWb/VeIxO+iV
PHoYSYXS4w37PYOJk+v168OoFJNiNPhWYPqvONDbuwinqzNSFneHnkOhPdHRea4C6w5xuwptNeKa
BQsvdDqyspfStnctR4JtSetiS/uDa4gTfeFrYzrE0rYuYZfTOukWe5djUbdC4HizZRWODjWjDDpD
CLUnv/JtJiqqfZz2hqTY5XNc7EzmCbSo9HZIkJGs08vJloU2Tm+jIC8I+KlhUOB4Wm/MktctkiA/
x4lZHSZIuqjf1mmY+3X4+m6Nkts3oupSAkmwhDAEKtUEyON4Nq+jHA/3ZV9zQD/oWOQ7wk+CPe6s
xXY0GM6vA2Ad4Uzx21QseOnNLGPBwPwWS7AcX19z1+No2LUMIxooHU0yK3pSHAOPLhVJuHDwgZhu
GUcCVli9MIfA65lXYOUvcc71BQ6zxzSYzaXTBaFdWdHZbPvqkoP0dO1O7sEfs69GTLsapKm6jHI7
34HgpWG/mMYxdpmnHOusyxmkac/pFV4dWO2lgYdLuFQsX3hUPGHJ58P9qvB7EYcgKbATRbN3GVnj
EMLjlKFH+wTXLFdvGkCT0yg1dnYVleWUliasPNfB0T5mUYwtFjcaeFvDy4ND1Nu3iRP4ByQY80F1
LCbgb0MIq4+YrYFLGHuLWeSp+kjvnH95aP1f1yY7mNCerZMWM6ohNGLjnt+d3LgtQ6J1xa09r1TH
yIDH32HRk2cIGuZmUnstcafLa2T9yNGqy0mKCfZ4/gKhgEczMwNen7UM3Hybo4S6wXcv2ItK5jsx
dXprUCBtCuHC+SMk88a2FiqnuikOftS8NB5/XfbZjkmvNvh8TmdhFOneattnH1PRHRm3KHYa74Hz
fr3LjeTGGPtrr+6yDQeb+DynE3WogQDDoh0yY7Oaj1CSqsmAWUMZSILzmlNCWKtAzEhnhxPR0mZf
bTQ7W0tlYJ9Y6Ny7MQZd2h9VdjUDJZ7T0eQV4quF1AKPLNHvMtTzq3iyuwGgkdBHpVXE3r7FVQgZ
aY7B6wQPVO8WkSggYfjdZxX1T9jo1N8guj6L1EQpFDtT/uI3jrFIVgk8FkKWf8DWqq33eDBNgdq0
uJmEKsPWr8zEYGxjtqKtbfnRVTDWi7EvEFbq69xOfO+EckKXxw5UyXikWz2ECbzV4jJK6MNt2raw
ZNjMuHlcu4O0Z9JvYITdVWR8nBNP3r8pxf4HCAF1jZCcheFBm5jXv3fKLwJCLwhG6Y9eOs+YWScv
ac7m4lT+fd/WDsOKWSdSRvqvP/c9kfj1cwUphzamex5Azs8HuGAW9hx0qj9a4+tixxx00vxbNRo5
atT85def9p5C8PppdD6kLYgUhPj986ctI0Fj6Hz6YzEzQNZKIEB7tSOTzfxxX/8+BPzmEGCxcLx5
J387BPwn4bn1zzSUHz/yXxwuiFoCZ3o070Air8zyf3C4LGj+nB5/pB286tb/cQBwPKj8/JRP6sCr
ov0Nh8uCu7LK5LwfCnr/X6n/bfvndAuXMQP8Ya1nDNPi8t7nLZSNp+m9ypHoMUXznXVg7FA2cY6U
tXlRq8EnyzdrvG7pD7ldkgXxuWPWWbscbETf26XowFlXkwZ7V7RZS8VAjUQysP8xlXgLSYKisyq1
+lCNE2aBgjxqVMVVMB8zYxxRjWPzYpfDCceuUg/4+uCl06mrqpizajsMKRMo8FV16eJ8cYYZP5in
LJXzFQLUCOloozADl4+GrofDSMG/RiKi23UzdZmVWIRAHYDa6Lq5fZ9IpkqYJnBPN0G5cjNIPA12
I+qXEabmAvNeFuAtC4ZrT6ayIXVWnR6uyDinZWonHbTSdli7+UC7ZnGopqE4TENLaUKbIT3JMm68
a5pSLMF6pl2PTzNNBqnm7tC1+dCzMXDaT4CSjipqx322tN7CYaniF2PhROukHKLhg+1G1ZdunK27
URIEeWB3IUpQA3WD+84YOOp4XjY6p1GXuc3w2LVifoiW2pNhGzdqOk0USqtBmMuNYu7W248k2zeE
GFrFQduy3QkrH3YyVo1FFdvSRq/BzSkrxx19fcDaNB/dk4RM+oB7wHRpd2OgD2kmmg7hdIt5+8BQ
3xJLO5u3DTurDY+1PDhdgeC9dic8aF9VcTrLDEQKWEZvOOm29dbscXnBAbM8EoiT0DEZen9vj+MI
xS6rQwxMhng/253Jg46VclF1FeOLF6XmE1UOTFiX2bhfGfI70n3mpxLGob2nIYgcsJ7UR6tCEYeE
q3isCQPYROZA44IWYEeuKZzCrd16H4ikgt9gJ9EOh1ty+ECt2NNNa7KGXRwXDY1ejDQTrw0+TG6D
HXPU9mGPa805ofnpbWqnzEnfdCgQ3KSH0Z4Z9YlMFvvUlXiBw0WL/mQ24DRN8mLwNSoHOh+z7ob8
EHeNfQ9y3Z/GtvT2WEx69BKQaH/ElerZHF1jO8z+sqUpjV6dGZCeak85JSbVE7VnDDR3WcpCnPPE
9b+sypDDoBMJxq8hLm7dgdOZhuTsbHXU3OO/3l43vrl8Lboy2iLsnR/6VJXHaIFdHRqGif5MGfgz
DcpAyFlP1XXj0juACZLRJrUHbC1c/Ee3FlywT5JzCafeoGKbT+PPHeoBDvRdVNzlQtmhXrCuHrry
0NUERED3EHCwRW7euknTh3M3OcG+rlDwsrJgjHDx6uvXu536QDs3oKwzi++Vlc8nRCt1OK1xIQMl
zKaKumfa1mJLNN5ImyoFVyYNMqyF/TSN82daQy7eB3EwbZE0ei3HEofACTrHijK0lzejxu6XjyWO
rJ/bHwjyv3fF3+6K7i85mv9JmHCln/RbXAzCJD/z17boB3+AJktTBsTngWK9UbgF4g8KGoBmVPSu
67uB+C9cbCVn8iMArwHSM7CxN9uiA+vZ4rup9f6CzP7f/3me/nf8vf6rWtTv/vy/qr68wYGr0//3
P1x/Bdrf4GKkb/MPiTmeZbkuV8pFvFVnNWljM6x7DAgKHy6RS3ZOW3XISUnePhdx4x4ht2U4V4/j
/A1o3rt0c4HbqW9Z411d96RBaWU8FV6BzyjtpGvU2M69ZGJRq+MAgFWM8K6R/+q7ORvS+1K7ZCH0
Q3oqY2n9WauIlMHMy87IAHfdjFsV4g6oolCb0KZnI8p33avlmcBUI0wjDt9og3L7I2SP/IypWnUR
eU5xoIG/cfC7u6pdG5itiPDhysrkbA0a0++0hKAJZRBVqBF7Z0IS6ddExfQB0ltxgAoGhq1jIARP
TvbtZPQB+RS5eWXNKabk5MANm6F26B5C9TlYtR0/WkEa0ADLb6xJ9leRbd1jwIgXisQdsGrwt0WH
pZwXZ6apOpZry9EaKoCisu3IeLFQXmcw9hzhTpqoj7Q/uIWpvo3s0XunRYrbpLQ6ABPyTxA1sGmY
aB8dsM7IjsSDENYoRliM3myFnWX3n2v8JLCpS8bbrk6X5wA20yPWoM5tTDDFEaPv9lrC0buFoUsc
Ja6Ie3yb+wtzks3X0umnLQ613l4NyIg9K+c2YM8B2VXFcahGogpy0X8zAgcRsDuHTqAu7Co+wfeZ
dj0p0cSO1hUK8uiqzFV5MnzjhKNgvsXQDd3V0DaHphnclxhjR8w3uxTTczEeyFZFuVwm5Y21IHje
B0bG+QhXMWPnLFl/ocScPcRzGnzxGklWPeGpeCujP1KQ4O+DSKRXiynNKyQ8GMUiVko/4xOgL3GJ
KD6KWqgDXnd2sBmJcqZ5WcDLyAvHuV1mL72K6cXsZ8/DKxs1lndXpcpiI+saf5tqZ1hTRcyboGWs
AJWC6GWLKJ570p6uIymLI/0z52JV8h9KJXGR9T2k38TwXlexcm9Lci6PUzLjGmsMzoU9umu0Xx1/
IMRT32eLE4Cl6uJUGv1JVdEIH7ZyfYBkZX8BkpJXDTgNrMNCHTNaJiWkSl3sR5G4Hwo1XtjJKBiO
dEUMUJU+ibunpPfNGcOm3NrZKvKeGmf8DuGvPMUQNrBWKN1T3URi7/lAebNX2Q+OyJ8BrVQMJiHs
L55f3deDszzQV5vxEq3M2zqRIKwT3NMzAeMrGQBPPJr8lmuBrcnmiQCE7MYD38E2Duz9GZu45FAN
Kyy7pMUnPzUhYoBa7swhLy+ymJc4Og7lY493uU+O6UfP0R3uuSgyN10Oa7CukJyP8lxjYVgRdxYi
2CqBc4osv4VTXdy5UXGU89idJY3mE+6BON2pHvoOi+UX8JP05BFZuceso9nSHwPhrWBSKG2K7wve
xNgkZEm4JMSfYBmbP5I/NH0CTMR9wy7rkBfqkYeZ4ATT4I96Y7TTfixkc4HVAGY7QbB3u6w8RHo0
r/AlLHDev8VhZXg0ohHXXulYt5lJeCzccVOHxWgO15U5tM9ON3MlODJga+4doK5Pu6GwejBvjj6P
nTc3iiPtUsBl9uYamuwcf1h0nR+MqSNoaZ5dL2yHSa4ufQQ+xtG8o7+gOULU/QpgB8OneJkRKEPk
w+6T2phlTqfFhlQD84LqV11BPSN+1zIeM8iU/iaOqYbSIkAktrJqgraSIUDuZxR85qkw8eGkrmw2
dpbXXwto3Be024NbFzfbk9bQmTYkTnS3aWfkRCNVocv550lm3gQV0/VvTC3LLlQ4lV8Pfm2GflQu
xYYQWrkjuyN4CNg1rgFsks+oVNNLSKd/BhgsHNkRlxAn0eEaoDJlKI3Zpc4ksaqzEVyWvWhvuixq
rjJzbB6MKC0wjS/VroZRiiQHN+oFjvPO1Y3zOR9L+yjxe9nBH6r3yZTZ3xcv7q9GN1BPAq4fmwtp
IY9JWaSfSIMfYO2mOeyTLIgPOGQjNZhjBDVWlNxYFtIyjMbdzQDb66PZ8+grbK6289ypnZ5s/8JH
BZ1tp6JOPjheNjLQKMgDY4XflNkvhzl2+kOVTh0crUV9KnrikYDBAISj5SYfHLGjw430du7MBS6m
UQmiBaa9bOrh2hpi+xxYcf4ntps0EgBkwOnZblOm+IXG2+uIfH6qN3nTBl9yKdNtWY3mYxGhuWZl
Sk5RZ29nhCM3S58Zz4o4u7PqfCyNCV/5YKVVcXKFQS6siPVtMY/+p3j0o71F/+ljMqS4QmPAZBCk
YEiMPLz2up2br5VeyM5ZepZ/usELbZ5JxIcJTi+UQ+SRtjYu3Mq0MVmusH0h7rMe3RLuWdWTr1Pm
qXm7nh7Y+7Mspr1FIbKBLVqQ4uIE3W0TN8WxhvucgiZ5dLcX3eIL7UV+8xIQ/HAaigSG9DQalym5
EjOyp5thqPJj5/Zf3BaGI2stbQifhvLXvJNfiNh4MqP+xSuWL3493VUAoiGp0wDXTlOeWmx/d22T
3tt07M4q8bx7+hD2A4Bs9Yy8ffrcRvzgAFWcoQ5BvM3PUPRTsz+rRjdDd+BETU4L9EEXmQh9l9x0
d6lddwLX7zS5nGiRYpQ79f5N0zWzfNQyeumByX3ObCMvDsmkjTAdI4Awqs0D5Hi1wB9TELVUY9Rf
FAsotVcwbK0pyvcNvYTy7Buwf/SY2VuKPJzd4rk6923qfXFnt/nT9KI4u4mmpLjwEvhR91g/J9Gh
WPACqkKCITD+3sSdm31DBKaNT24TTS5K9IF2S20QgXJqYDxsK8MEWaRPth+k/ozCdty0E+05k7M/
cl/xGffJ8Qhe7UH57vprvnPaBysBl7CPc9qKyz6w4Q6ZBgaDOcEzD9i/G0dqkU/VQlckkbZ3Zgch
fdtIY7KjCiuEfzdfc5ZtrlveJn5fnNaSdHwSZC6f25XEqIXRH6xqgrfYr+WWA4Nsg5apvUjTUx7t
ie6ct0MddUfyw0SYY8dz0JBSMB8UUC8Tvc0aIz4tIu5OREBF5xY5yLkzSUmyigJarqUu0XYTZhJ7
zZ+9I2EFTu58SJshxeQZEgetWg7XaVHvxkgoWjZJzkYWKbz3eM3HHmgFCb9dHlwzMl9QdVBGq1yR
IQLS41jf6IlJ/7M2+8rTz73wmtz9hIUSFQcssyIt/zIT/fch7neHOBDGX0KbxZPOfxLYWa8/8Q9k
0w7+wMcTvhcotCne+HhCpPpDCBN5qe3agf2W2eCBXkKcMwXsPdJIrVWU9xezweVL4JF8lWhbsZ7v
/hVk0+Fs+eYAt14O/jUubqFUFcIEkvz5AIf77lyWxFZ+T8xFZS+IkSKHUmO0DYyTuy6z54eMpla3
17MDNVZr8mWfp6gAarTgWsFZVoaAcsYEIYt5UwWRiQm8X+TJ9Kk1S4NB2wol6Zyk0OwGg5puILaP
PJGeHIEtUcDa/mB5JKe0m9hUxvgp6XpwxALzCCQKgvACIhiWnsrg4EAebHBvwOoBM9ti5JQX7Ssk
dyoNZw0bwvgNf8laGwP/fbyFsUSqLQpIn/+5WDy8fzq1hr5InKL7XekRf7sNWx5255uWijW/CmJs
uYk1ZAssXxrZpvO9WEND29BGyc/9VBa8109vxtbNj89+e+S2/3ZJ8G3g4pGw69K4oZ7/+YV5mT2V
tW7jb+zhZLkrgePzeRH9avSc0CMloQtBcWJxXknIZ0CMRT+FjCtT1fkT0VczySIeB/XsjNkEhflu
ieJl7bpNvIpd12Gu95C09BSnnVzyRl4vMLz5NrTImnrEpNHmBT/woZ9whbc3taIEbx6zh9SOMYjs
GcYc5rTBijK88XiJknxKcZirvpsj9tcfiaAx6rsSltty8+un9zOMT2XCpCGdeDWFfnXPXR/umw+a
8QAIFkSA30BNbDTMqojwzNvYJjN8ovQSH0YYhGu0pXQLfDAV3lrDHU4Q8Ct/fSVAMO9u2QFNcUyS
OR0PGOcdcGI5MbTjKZPfBu238tpVc4YjeAsq6TnnWMvFlf/qQ3Yd6bOUOAjaPZ7Cu3unJWt4NQ64
zwVclnrewjrF2m8z+CgDxt981joIf36hLFz02mj/2z7a3Xcv1KYoZKdy7W+TFetUfLfRfCRUkgpV
AgqsZn3ExSwhdO9+/Vj/NpLQI4OX8Y/tuyy67xjPOODqlvhU/YyzeO8vm8wr/AGdi4HF12/u8Z0z
0TqYAtwGsBZySW9lqXj3QDPaAfk42OU3TaO89I5pEFWfCgR4jRt2KGRj9WEKlsgsL+uUI5K5c4ck
Xx4y7Sn4RZwcoikiZDAqg9ssI8lchAkgT3GZD3EL7tKPQpTt8dfP528vBgNNoEIcCQTQ3avzwtsJ
gHjaR09hVs+YyrVcRWsEefYy4EvqPtYIgGqHDJSh7n7LIf77iwl4K2u314KObr1ftiLDMifVusZX
mGWWvUDAcVNYxEAKeJWGlgO5pjgyTXLvCU9Sggi3Tdu2ASQiY7KH+7RcRswEE39auq9UdyvTv6I7
foEwC1bo9jdPyX8/PblAeH7rNAmgFeI69vNCgX+Caks64KiBUjzkN5k/d8uNJu+PQbXM+MwMh0Ar
La8NJ0qZTbrC2h8PHDnPLJZBLuL5mQFYZi9SmzwZtj+R4249WIiRXn4swGTwsrpQ7cXU83GAuAFX
Vi9npA74TvN2qraTbMOVYw28kQS5Iks0tPmED7TnqfBvycXopi8ogSghNg3OxTwLO6Pf12yQNUqy
A2zRIE/cNAmqaCy6RFZ+lxBOUmvjdJFebpj+gftYQQVeHtqlzrjGlWFRIR6Bk/OITlZl1a6X2Nw+
LJ3jDfdAcnK40xl/M24SgrN4JEkia96ZnUxogjelk0AjCDNHrXHS+CWhmYXqhgEofaukkoTUrqcO
vhOr7IhvSaWnS3lwhynpbjuCXdjM4LFkLMG6FVlMUlAc8NFGOgZ8O/T49dMM8Cl57SAzbr5Qn6Or
jsTQpFeFqHySHSw9VRcJMQn9uZ/ghsE+IiyPR5ei5Z8vfJpCbJZm1K17ZkNmFbNN+U0HWbEWlcpJ
ffhxA27WJdwqSr1AZltEKQYP1DUrhp+e4nURK0rAoHLX6EjyH5jHc0lzkwi99h+/o+EU1u6cFBf0
JGTI1QTHOMni8gx6JyU7+jiphMVxdmruCT7/+lQFPs48OddXSLWO49gl+bkq2p72qJUgoSt3juFR
tc0qoiG5UbPXcHss9OtwqbGezF6cvK4YNFkks/IOHSN+qvvMwYZNbggStJlTyM0DRk1stwXvzJlM
fiEBBlbk7bu4y33nbIgpnZ+bku6aCmuoM3y+y8JoRR/9wpQ8kwUqZDGeIhyx0HLGS7XWbpk1OXwN
BVGx3kQWKDldNU4EWrxDB7W+d4/uGVeH9Aavul1tR+v4bZ1G8CdckhpnOAd6EPyWeq7pq277DFVF
xpvvPPYu4r06Lmnm7vlLbKnXaxEB+SESYp/HFJz9JmekOItEaYG9ySo1zcrUX+s2OLRQBfUa2PCY
9oI/hAEeqVxWJpDPFWFDSGX2goyx53Hi+b2OuYISkN5aNwmeT2xiNN2Fa2k93CsfBdx9Y/kFE9jj
iCevKR0XqgwxpszzuZ2XdfFIcgqxDLroOqUFZnT1tjUFQaz0J6kbSfVRljPc00HAR2VH81VpFKyT
qbPyag2K4hfCRW25PnzP+nVUO2m6Zn6ADVnucfIL0m5wzL4P4Nyv531feOvKlBQJrFNpYuiFCls5
+w4MAFiRsY3CPwY/Wm7ceZ4Y/r6mnSJ2dP+hilEoEAx4LV134ICaYCkF5icJ1U0/1FaSRmA3GcJ3
Vqt0mE0LrbynBwOturn6x0xt09U6nAqtjZGER43QhGxaevPPjfDT2qVBZlXcTMX5Nq4/BthECXJY
dR2s0llammOxYyFmudl1mP8TwhOrvg6CTU/dDnSPPK1LjpGT9fQzcYlgmZXPC01ikayL7cw9k0+a
L4BwbYIoOL7M6wQN9XU34fvH4EnJhmckwiRoUGgS18qf0K5qxlDkpORIXtRLvfC1xh761rpeXIel
EiN0ntK2zHkf4NymYfXNNbkp+L/uM9S2vKUKRRZ7QT3jv0oqcmOuq2C/YjCsOqmKumGPjcLId3KE
od0DQzJa16XcHFY7vi5bK8JE9DHLkxITLucXXUJa3fXAU2QuWHanGVADDPK5XpFBjMUvfPJKBZgF
jeb4IqEXxUcLC8oK4BDmaOz1s/LY5UmkUcw8gPR1k+26vmE4ThKStcGm3M6sD7OfGOLDhBgFoQ9L
FOp61XQVt+TXbY2ldGmvJZaJkdb8TAwDp5G/ziGs+uvDGckyroND3rKqol9JMoSYpx62Klm1UHri
bRONVbQTZGg3H1cV5HyR1mz+826YR48rBgs1eEr4i3tM7Aw2J4PHRwzDE/xrWJfpuH5tFrXDwCUs
bC2cZW2sy71Gs7Q8WAajkmaZ1wbtuKESjU3mJ2xRZq7wI9cjsyixPHVtpyy7W40irjM23mLN8k84
J0X70cTj/T6ANJQxhkD5mjOUnSHfy3ro1TOeDo1x0calIa4irtRBEKHS5k9sASUsDK+qi28kZSzt
XYntYPs0klM5fiDACewTDm2HaZnjjgouUYajtgob4Qjd78fRJawNKVEENitLs4Q1XLCtkvjaDVbY
rJJkFvnJbxYojtXQkkIfT/mwlvRLO860VTxSAwJiA4y5+xLYVi8gZHSziCEqiXyC3VPYM47sKuD+
I8ZpBJbVJexkRegtxbgs2yAlFKfdRzZuxxc4wtGelCgYRhyD1H4IPIxyQWWn5T7OMIlj45OrgBt7
OGiYAlw8pFcZ4L4u404HW0LxvDU02LORfqOfPaIG6aCcmyMtgqAyzYM14pqzjxTB592mA2xNwyRy
XONG4WsqPvW6abP6YCpvVs0uILNpup/gTHRXhu4q404YQi8PXcWo3ritlO2nxRviqt4URCG36gAC
Fy8TDiuekttgWor8EKUd7iMLYehlvQny2rGT0GsX3fhfrZIQ3m/AqvUwrY7Hc4Ofp+v08Fzg6noY
jWu3Mw9dVDUutGsQ20IeopJ402sSXYw8PwxSUdYm3xO/grhshTXCWnihlgv5kzhHp3OM+Lq1uZkM
453X6tuci0hCaYoRa+rNiOSEbYlmSKncT+PsKiW2KhpbQhlrE9Oa/Ii8yqUawzqbCdNiiM34r4wW
H6JD60C7YlsJWEiY3I2/lo8tGzjTIRFyXeFKiAQsJakxwzbZZ9jOxPRaHK1G/2JpYoOSFGbKwNaD
J2bGLtNVbmzTkcAhpov2PXbvLAFEkq8nBy+zFq52FgMk8UPflKl8dCtdcSkkKK9caPo+YA2qb1yW
SVdrKns/x3zPPgjbpQoeTWo3I6QDrVjLMh+vihEPzHHtkBEk55orf10uzjEQdkFJVNmc+I0Tim+T
G6Uu8cGbXLds1wWxLGz2aISUgtJkhG7KAyKfb905/WacuNI2Tjw+u/cWr14+DvRb+BpJchO/zMzq
iLmk3RquwEGTQcOKkgvo0EVoQ1niiirAWryhgzZY69WAnNvlwe561Onj2FQ10ufMqy7jOhvYFlEG
rLVUpby1ZEkC6IMBLKBKdtZLb+g5D7ZovAmeg2tWgRts8L2feLaB2bo8ftbweS2RXuEeqct1l/pr
BxNQCgaMf80VsZABnIdqYzmRwYNUsciC+jCnZC6/FL3Bg2WZydYr6LWBNcPxH09iaZhCm145CxWp
VyX8xhozS1LQc2jra8SrQU5ICu+aOuDOLafIfSyIysvPP14jG6ZlPXD867t7n0YAd+xklcU76jU+
j3ibxrjUJDfL+P/ZO5PluJEt2/7LmyMNfTN4kwhEwybYixQ5gVGiiB5wAO6O5utrQcr7KkWVMe3N
a3RvppSMIBr34+fsvXZhJtGzLgOvKI8ZNsl6PHMpR/XDEpBCliHBF2vzqe9ReWRnwmzWosKUkHRH
LJ3zepAP/Y6HpaZfZ01bVN99IGO3tKlSUjtZq3ncJwj1jyYIIx3eLPBi2vzSTwKT7zMv7voeOA7G
7W4D5YBiqxrc9RUhRGNteDVFx19INN7j1wJKDeVhB0aWnPFEIXg5dHYAsiVOf+2umdYpmyYDKgrV
reMg7n8A+bHWmxJryrxFVVhQWZtcgeI9WcjQmYlemde/TVVCXB7sq4Dt0sr4XgRxMSPjuwCZTNdi
3hHrt/31epTS475Uamy5qYjYHVlfOpOj0xeiAlPQxjBfGFxgKOdZqLb5TE2Ap7h312e3auyoOUHT
SLWM02oILWIcJVEOFLVjO3NvlaFxjDBB7vkVTKFhF0OBWUvrSLcc+dIgyvtX3avcqRFWKiFZXObR
dS7d0ZJls0k8m+esNu31EMiMnBMbisH1hpDqQHnJwZP7TFbwMl842HPnC2gk86QPk+105avOrImL
kvyqfIbU1NQaA1Ywftsc4xGFwd8n4hDvHYXBlKYmp68m7Rz+KeXMQhKyYRjTd0erbrlBQGGaW6Sa
GccRotBx9B9DH37Cg79UjjK2xojt/wbqwHroDvxwrcL6yVoP+XiR1kI+FS3PRzIkKXdNAp6nXJ8w
AUTbvNdMrvdB5LVwZilCWAMWq+PIyNxLIPdfzw88TrjmMn4QA8B1qRSsyf5RwCACOEsaLo/+0Qot
mLdzGVJH/Xr1Gl2tpVVl1FFD5EHXVgOkB62H9cFoxrV/ZCTOvD6SgRmOzbXpTlAwuCDLeuL2IkNy
IUdS5XnFOS2n4uSDE6Z4nccCbkXWTOrWnwBDnIXwbKpjONicKdjYDJf6ACmUZun0q7Llx0Su7Fmr
iq5ZK1Ebzj7rzPjr1AiPquQt7QpSteoTBb/yyX0eWZ13RGWup8BfB4sqWdYv3S6IEdMtb9kMuUeG
CydeF3UEDzqHJIjTWzKkGMjtUEKvX101ZC7VxLaoBEMRdhy3PAVrKBd/cZl5omawTTxrktuIRhpY
eJ7/TCkfFiYDmdOUr047rSf0+dfKEWFS5xoCYVqfys+7Rv9DzwgYIsAKBjqB94evnxl6SEpuNX6b
ErmeM3VmVJkXG+7cVREytJ7f918+8mNXjTYVUhHPXdt5dvgHyWAW6FxMCVza83HBvFe/Ho0qNNbO
7ue/3Z8fhQyAGtdZB0aMpj50Vu0sFYumO/Etd5N1fWp919EUhSzWrF2ff9bPbuA/+8cWrePAcjwk
jA6c6o9zl8FcFc3gy79NTg0T70Jltc2T6Ek34zXM+tpiL1wwJJWvqnHRbGwUUZdhtRXS5txNF2Kd
bGDiWjs8w6+V+e/ZR0OK8loiBd7AngALe+SfPv/6f1wqh7YwhS1Dc47jtrn++T+mDFOf1BI2qvcq
c2vie7BBrcdCNleOUJ9/1B/PnENjGHMC3h36quHHfjdlVG4j7BevURaiMz8mM/m/j0ji1lcEw9P4
r4/cxxEKDH4r8G3b4zOxHHxkivTd4IQp/ftX4aIbWyhCcrqIioQQNgg7WvesJKLep5iY+ecfRMiY
/TWrHSqyz3/3j5eZqSkQs9U9hALWsj4+kSN8MWgJqfNCT4Kj40y4y/ydGJb1OP/5J328yrYHUZdB
rEmUDBOkj83rksKQiXthvaimDcoTyr31aI7S32GTz1Yk5r8MHn/nJjA0gSBB25khr8eEj/bR70+Q
LMKFxWTuX4gNWvvJvZOsyxyL4sx9TfqummCB5+mc4QcvvYyd8fPf+IPhnW/g8xBHpgP5Iwz41e3f
vwGnRAT/Imheusyc02bHLGspd3Q9sqggwH4tW3SfraWxDwKLm/53U9zw5Nryqn24FdnZ+Ovi1IQk
cI1o/c+8xa0bOZwWlips2BIGrH8hWeSOBA2+ya1SsloHo7dulhDSWt3C2jZ58TdwaNf+qwwUzSML
QvoI2a6kRbfDx0G63FnOaBlfAHzCtbbCJbOWXUYP3o02MpoI7hmcb2qbYHDWLV6IXvC1gl8N+oHS
nlWzLO21aCpITl23V9tai+WkqAtWEnMg/mCF0RU9nUlbT3ptsjQlbdnPL/8fD1zg2q6JCWKl6P75
aCtOFplhLvNzm3XEWR1TIdcjEDq3tQL4u2X9+Ueu6/c/l9x1qY1+zmhCtADBqjj456LFoAxsJWbK
5whhNXdQ5ZFfnrwwwJR/haaPb7AhpE5xiJqsZC0KDZxI/MvPv8bH39wBZ2iycq45I7xzP8ff/1g7
G79rRu5l9ly2tD/PwezJ+gv2ULu/tAd59fmHfVxBkMCvtq5wtUAyr/Q+POS+ZaZ5JobhRXeiWB69
Ilgfi6IQa2X1+Ud9QKGsPz0MgCibkJbZF/5wPKbjZFZVo+0vIAfNME5oX8p0n9JG5aSLUp3dgezS
peZ/Aho2PJeT50SPHNY8JJeCti4tGI486/xejKAW6SMs7lqo5yknFEBvvBVZW2RrW2sy1jZAKFft
2JkO/bVNTFoAf1sblsMvZ5Qee1GaGuukyNL1ul5zIIC1fEY2VT5X+6Y1U/f0+UX4cL25BhHrCgpx
JpDOnxNTz0sl0alq+qLqYt2Zk5ZRBZkAIzCcx88/amVT//N5Xu8pixdAEXJx6Ot/fJ7HVtBTtdzk
IXTbn5+lPFqnpe7WUl+x1LME/Zq9V4h0uArN1Kxd0r//CQfb2iEwRvzMXz03WPuZnAUFK51dk109
nhlloYzlkgjZzGeCJWoyN2cCs3l3yobUq6/5wqKm938P/pgWrUMkoyps3p0FwxF/ptt6veGLV/Ap
xs/pePCrNYEla+3xGms0OONHi6pl3ASahb+NZZ+vjeW/R2i8kTy7BTMP9r0kocvhbGarHmmBfH5J
w99vH2nSayCxaSNYAotvgkH5fYno+A10aIrke6Wd4GvRY0nc24xHj34ZCpcefyb3qTtFF3OYV0ks
3KQ5QuGrHnWaQ1Bt4JowNE0x9BOZsbIbZfcl4fw63FTToLNtFmpyQKA/1ozavsP1IM3P741s3jLL
8a81IawXGfzSEztStnBaz3QZG0PhPC3MkfU5ZsEC4xwxIG5M17B8BLovORxU8JGxbPc3LrtSuXcr
wzkFc0/Ur5gJ3Y34hhkz/POqspkSFELSzmvRABfYI6oXVBPexTylcKbU0plW7Ig+eLDZn19F1lpk
jIJZpIWRQsC2i6Z5GANHPeaOQxw7bni3IdLdE8+AtwcyYUV/77vDQFkEmB/TZbFnTDAjI2VeNEF9
iHJjo9xan1dNu8NQqGnYZEXxpEKfzOMQQnQsx759wONAS8wlp41un+Fu8TLcunI2v9mzHF6sYHG/
ZMpT22zy64syGPKdC1bp4vMn4vfFmgeCsTKLmUep4NoUCh8eiJb2T0DEEmjWwJxuIjtpyp1frTZ/
vzf9L59/2O8v9K8PCxDKrds8NdzHiiRZXEq7PmrefDOo0QhN5gOcG3vY1HV50q5DUt6UtvUtI0Jy
PT7/7D+e/J+/JlodRjYs4h/PI8obopYUp/qta/B6ECIiQHHVDgHW/7JN/PxJ/70N//wtXdtGeEAC
BRvyR5XOZNeljd8xe7MgIhDuabNdbFoOPDkhTBVWE7tO7nJsLgQtVR6CfUeLvDro3PMRkEtkX4j1
/Ove76PzxuiCL+y3ZNvSV5SPdU3xYsumJiRTWu4tzKLmvVZOeImJIbjV9mw/RQXnVBCflgkcskyv
nTriOTaC2qd7UzKLs8aIxlofzW/FKjUtOtXvrdQzX81JOkBFIudfaqEPIjwuyVoGUAZxXXA02R9L
AssIhskl9OnNVevFz3InOzhtUR2nZXptrKh6dgx8jQpwN8HGveEfyaAhlevzR8BbH+bf7kywijVX
PQg+cLbxDwWSVSY144MseEsVgwPaaT2oAmzjUYxZYpGxduvpGNQS7GZuCCK/6egfW/pWJy18dOwE
bxnXi5W6R2eZaZz1xNuQPNjA8S2NUz43RHA68wGAn/NAD7S6bg1u2sZnMDZvFzkxdinaIdkGIgru
KBt1i6knf5+JZbxyAsDjJZ3iY5624rr2ZCXjNhnUt7nKFMkfdnlrNIRrbfzJGveOLfFSO32ePoxg
VAESdSa/QDZZxPiCFKyYX3d4XQL2xHvXM8LLPJvdJ4uudkKIYwnq5/OL+7ssiVvMtcVORQ3qc5oN
PmIiFS1h7nuQvHW5613B0igeRY77LS67xryyxjXR6PNPtH4Xvv78SGoDjjiEwCDB+5jKQqhM1dds
nT8KUbjntM0Iy0vUbFzQqCz2DCIkK72X9m/CMavHPJ1IQc4j89bQkbP//Lv4fz5alJosn3aIBRBX
57r8/KPo7cfaG2DGNj/SiQED5/Y2eWmBcei4q2cP4Ltd0uEgDZl0dY9eYVxkvnfMVpYmfZIowk5u
AKvsWz/4mkuyUmn90kJvjCE7lX4+HDvHma58zF5nhHam7qYFIjZuhtmywWELOEGb3gIJBB7JEweY
QGJflNI4kZ1DjiatDOOScPaZQOGR7QxAj9inI7v3FlxteVkz5qWidGqc91VXNUhKxoIZLkPPR09z
NKUWGe6lPTVn+GWcftMHyGV4EhkXbX26fjdOlDeMXFHUIYOfmCtJsiXS7YD24TSKCMNMmwsfXS14
HNKlw2DsD6af2k+yb/OvZMLJdxdoJ60eXYAj+Pzu/Ln+YOmPEM0hXcNK8Edfz7GZhJbTWP4gL8gM
gDlGxTdUHjNTQ24ZZ6rgjaSRhDg449uscXygHtXi36IX/6cHdkWowg1F9gtOcd0f//GQoJQa6mEJ
qh8JCYUq/nlD/EVl1WVe+XJvLjp66PpGQdjGtS9w4T9nkBsEz8liPfzLNfkfXlhCXugts3Sgtfyo
2F1qNep2KosfaWD69/jdhju7Mow1bDq/YF9UV6rq5Llwm/qM3BHrJHEp0GKv5HSTB1mIILkZ9WVu
KOcd5XzngXTPy/t/+ZZ/lAwwX5DP84qjmeZQ+eGS6TqZ66hz1Q+63l36hcrCG7Z0EueNGrDX2b4u
mSkNix9C+Pba92wxA7xCeKLGgxO0w6MHxe3SDMbyi02sLRMSdoE9+I6Ky50WwdbtGPf+et7+12fx
MIsf//f/vJKm02CD5ZDyXf7T+E5f7XOGzMOP6Xer/N//xd9Gi8jB9c6+x51G24VcllX0PwgZ0//L
5+7yvK6xXj9Bkf9Jg/X/QrzLH1HXuaZLafn/nBa29xfnRprrrrlmeK3m+w/e+M+88lRv9m8VBC1K
24PBzBmKDoDv8Fm/v8GmpC3fta15hhOvf9KGG2yGipblZFdXC6jUXWYAAkPeX94FY3gaBqG/AkPs
7gXhkoCmh3PFu41UMVhObquMs5k+THLQHPpvVNMZryoIEDFApOmOKFugZnienQ439Lpn59Z1UZTV
G6OprOBsYcZlX0XktrZfBsjzIBGNcmmdgygZVJ9CrJ+rVINUGqzcKJZk7XK2LAsXvHdqBpoWBEqY
L7TwJMVAQJqGBfhj8nF722SQ74LMdId9Vrm2OJdumleg+ZsyJJdxAmfOfAcConUetLP96MLu6njr
WvwkW+ky9D6wTc7emUIdRnolOYRB8UCIoaE0fHZO8ORYeu1rQfzgW+oX5JaQjMNcZyWVmBqvPGRy
834CGCYQt1XucEACaF8wu4Hcpfwou0jYeeDLSWYAe40sVe8QvoK9IrIbYF0rnsmKlfWmQrUBfmcK
6eCH3vOsPQLZnTQ75kN+n1aV4Gap4tTZDdhJe3ws2tw5FBIYoFVH6bEE+reeUtPsCdMWCS0z2IIg
nE6t219ko1JPQ1qTBVuxAdZTBqNXRwKTqP+dJDdMcmp8hok/bG14fOXknKHueZw0M9c5sopzRkLf
0rxFU5qU6n4JFa5SUkFx/tmPpMK0K9B3PAxBFuxDknDxpdzpJX/0K/udxDB5gUV4RPCSXi1ZF2xr
JZ/bejhH+90cS5nDucG6NyHxokoQPhwShvA9I9UMYcoGvt6jIMEhVr0B363WP/y88U+1vyQ3Y9T6
G0z1yIuUIu7CSeJyVuXB1S6hHAvcnsLxY601ciUStbYuUd2X5Nv3p1BCWgw81zwL2jzfN0i5UB2k
WK5XNU6ubH2oNXDAMOum86mf553oPOMuFbMLRCb9kZAjek2G470n8+m+qecKpVCdo0sU+bHB2bpR
OXGeTrsSthtP7WXouWesC9m+7+1on6JwQ+1iROh2xh+tRzoAaZttnLB2YDxUeQM7Iv/WOmRqMPpF
oZr2cD7NGqYmuJvN0EjEJ4vhow3WHJQwUW9Q2z9YGFmhNNCOqJKzZWmIDhtEt/Gk8eTNiblxyDc9
zzov2hq4ed4d5fUvagnAuEryLEZ3LWs632WeYlJs6VJd+Egeb5Tqw44WwGK8tyQTOxuN18ujtCNI
N+4Lvcz4KSfjiJVU3c2WHoP7yi3FDds5rnh4PfmVQOa5d9o83CVBEgxbq1LFw7DaryWI+hSWUWuf
NyrtYes4kk/jwQI9nozyO9u7szUTrW9ojFtbrXks0ghj+iaEe/vWCRbVXRq487mSOSEQyCtH9C48
WtMWj485oWCzvHLTDhRvFmipnDozEXufaW32jo2blKtwjDpE0GYnxivsHsPz4PG02Ggis2VP09Kk
9x7VhzEPEdR0hn0w7ZbfrBzPgrnwD2QfsUpMIBFpZRo7D03AxhEEIBLJ4OySaMGCnyYQfMLl68TB
7zHIxXRVFcYrr9STveQQCZmA72oKGWl07lVBHR73lV1cNEb+hlS5j3Nb5I91X1QrwMrLTzYUUIsE
Cqxti1VbN12dfOkquww3zI2jS+FW7bkVyT0uH30JJEvc0QQw7kt3CF7t2svjtIy67VKvIFSVZrzG
4wRNNFk9sXM1myc/weMvExCNtGzlVTUgu+PnNPv2p812fWtLN/GxqJIok3REHRldlR2CSt9UmZvv
8nk4jvi5SNfF6sVespDxgG77dnTmZ4gh3hH1VvS9t4dbxAkZh4TS0UcnlF/9uag3uWkaO86eZ25l
heS8khXO8F3I96R13R1iaIOMZi8jTkVZcWMupG+1GFbnNEz3iWuxHoTzVT6G5fVimPoEnwMW56yC
OG8mezMN4K10YKuddO30kEXAkM3RDrdRUaiNsPrDbKQ9a7A8MYgItgtHxA1nPJ5EQkDOJIO6jT/2
HiDT8Y7hJCETYYsX361xJiIaPnbTdDDmjhghUyecXiYT1UdUf5/R+EEYdaCwWVSxYigJJalbstto
BwwPERrh2AlLTFOMQOJBdmeREUG/N8T7RI+lzoN2t0SjIjQbLyJas4U0HNCX6CyyvVIAMo2yewPb
f6pkoi6sCXIIGuVuy3S0ubapTC7taYU3mDNnz1yaZwvz16NBd2HTiQZBE30n5k4klBghvzO5nsj0
6pL1rvNfFuAxdFcDa5eV8sVuy/LCEwlZMXMDp8YZZ5wBhXXJMzAccGMRxF2W78oH+DmJ5SUV/NRy
AVeyKWYoLElLOgNoMpZ+dOLfagGLgNNwfwNWNcGiZA1XoxtqNneb9qyZPtMDfRdR98OVebVHfD5t
9OQ+1UQeb0GPdI9VyI9CU0Tkoprke0/W1rZgNhe7LKKbYEAVRuJicRvZrTgzQ3u51KXkMgTli6oT
CMWat4tVSj+FUPO3rnTuc6B5WwBkakN8M+u6n1ff7EbaFPe0vemf+vtCB8AAIqMhm3mpL23LHnfI
Ll0MqPM3zKLzRqNUB8zAdxjRmuzMqAsfB9OGqOAMaFabJaLzngUEx3PBBF9fy7J45rUv5UmOEDK7
wOO/dcz5vl+Pf4RCbo0qSm8Vh/IbD9jZc1DgZvT9kYzb9Mq12+HoqDB1AHcVK2oi4UJneeZ+AcM6
Mu8h42SWIeDcBE5Rh1WeO62JFltoA+CR0UhI09Z+o/fZeDHR6ahxhNVea2uRR3OZgmMweeHLiPjh
WZmEBqExv15Mxyh2Wmf6SGfbufZqX++spZgaVlYhNXi2eRvZOmJ44Hk8EWZ916E5uSMXZTC3rJoQ
dTgRAbd2h+p96BmlrS9qyj2F2r5G5PT+QQjL45VBzQisZogWNLIcZTG/O/cCUdA2kOYltMYCbkFk
fkOwdV6NRM/ERZshB0qdt8ofvPvGz+3vVloY9XbBnMtkKFfTmSC4oQO2hzwuxkI/fTersIpFq4Z7
TGHdWcLieVrFNgfikm4WH6ZTG8gg1mwH09EyloLH2dfBW5IGpIPbQ3AdSS9/8kTvniyVe3GP0WHn
5Y4g00osVdx3AVJL6bR3veP2KFq5FFdgo0KcAQkUggByKbyQPpR1rKdhvm4YeBxSqy/2STDKvQWS
fif4XgfZ+8ah8DD5Hbqgyp9Yzcontjj1FfuyeU9ob3I0ick5M72Rijfp/POu0UQ35cZAJ2P2x+ox
tfNivtAGsLtoyfpzmK28EJk5ljtav9G53fUwZGsS6TegI0Xs69TcLebQ38plkk9muKg3T4wakVcb
XQCtk9dM9/svrePRwgyGFm6i0/lwgD2ghlRXy2PE1LUlbdsbRojDrLCIal0VxUskHJIpKjHrXV7w
PlxEoVvXuzCp/C9jEi7+15R0wCXW4cTOGio34kXsJ7kh0YKUFbd0EcQ5ZfasgxEKA/FV98AkSNYc
ssY4Vc2UPye11+zhriA9rZepOlMKYnURFmm4cUkCDTdDTWi8iXnylgTj5jjVLK99Hd2PNbXxgPfi
W1M3uMOyoNgDcUkv+oaSlNkrZD5Z6/rBykbUBGZgHwCCl5d0VcEZAkEGjd4hITIW2M9eL7z9aDXj
LebOvo+9Jak3EMggaBeWuqybRW1cxj1HFUzpjS2cZL4Lg6Jvr6eUrM04SicT5iPAch/z6VstsjVm
jwgj2xbDG+VmHqqUxI5udO8JrfJLUgLV3IZBPxyLKKshTyERXS7gohhbfyisXbWIpo+dIWMdZRpM
p2zwnaOkE/hEVmSNhRuZX3DsS97FbwxFk9g0iiS9zKGDdmCAzL7YwdEYY99WmnEwqGxWHzpol1oa
ApluZN1NHZFytdUZBzRSWaxB55x3Yy/Oep7JWEknvxS0/7aJrYL3um/d72ZTusumx4BUHKZaPAxl
lOTPluWqbe1GI7ljEJ1CfFAeHasw/EE2X3r0VU0JDsna2EIqCx6XYjR30EoXPEdkq+4He1heTQrr
i3EW3qbifEwr0AR+5Krzxe7krRC5+JpNbn03jhaAD5GPW7t2RexllkNIMFz4XVquoxMzoTroyuGA
N8La9vgHrlzaNjGyC/fLQBW5k9MUgQG3il3KXkdx3s27ye6BY1XBmSEaHbcc3O9kmkf7vjTtV8+d
3CO5gGKTlKxMFRg4sl3a7JCnjqYL64WXTl773F4cht9gLOtDZbvXzpRFb2bTX2u+yaaXpr0VaGCP
HdFvlFIKZxJH2mkDOHfc8dx0exEBVOnmkvMND6UJ9S1HTYbJZBdVbOPJZJQvAzU9Xr+gPhpYKWPM
OOO2Gf0mBMIgh61hGvPWxfG3bxNYYE0UGNeSAcSdGLMjI+7qNJFGtGWIR2M2xY8CHTzLfgicoqck
yXMW2i4lP8rg3R1Y+JUAnF1liHl6cl37Umo2nXG+zaQZXekpLXdgbP0jXWdvR/IXC+bQtue5ad2E
IUjvYRimdqtE+joEmG2adpaYm6wuvCqNrgdsRiiaVSXuBnql85zio4AYPsDhrPOsfjbE8Nwx3SMm
Jzy43mSZG9C7b+bExgowbDnDR0mGGwdPJl6eVJuJ+OPtXDp0H5ggx6h+Xz3kYTvN3ULJOn0ltfYi
S6GaLd1bU1Rfh0Kvz5sy251iVkz2nePsEGjZmyqPkvMiH7zXcsC3XeP921IzW6TlQQmrdr3Nnsf0
u7ts/aLhaRmCg2WWwZbOYX5ZpWl5Q//BNGPlgnfZaUEDcpDU2wUREHG3tn+mcBBnUddVu2XUyzEt
QvPH2HBEK2ShjyCEFdD9zr6FGktHQPTfZTbJ86DOi40ZlhhvWhVn2SzOQuF3bMBGeW4Htb5dSny3
oDO+cV6jFJubHLntUtRnjcLGtE31MD/hGAV4r8eTQ4DUI6XUQ250HVYYGVxkvjNuMRdTOLaY+Mel
I6hIGX3caPUSWd1pJIJikxX2I1LEclto193Trg+3o+eET0yV6o1DZzqOzJBsCpV4D0tbehtvKe2L
Zs7oAgPyFcFwBOJx3/vWaj+l/pupjiDiNfdZaz87mVWdObpx3yBA9rGZ9k4sjPpxInfsXYjaIEIC
5hstZjFSfE9CYRP26zt82yaBt2lhMe0PkxdtqpIcOK17GhTzeEfe5oI/KEwS2k5yHHGluHNO8V9b
nHGIFiiVE0FfZ6S2Qb/Z+vx6BH/ARM4kUCveAd8s+3O7oZRcmBJx1ElibpUITmXhiWvtuxTWVknE
s405xtqQolkRrhhW1rBTZobtDAHgGf+HPyqb8N1O7TsEdSwepDyeR8IszzHjfcEmOH4ne0J1h9Io
ySvzlUuoBYFGXjWdLzkjb8O0Hnu2pG1lSbK17bUXKJp0O0cq2DB3gkLpkXaa5JZ3sD0q4XSwWRLw
tOvxWLQw4HX3kobL+cQDvyU5zjwrU+OUINlArOd1O/jW54AO5Z5kqmAXlH51Ljzaf10EsK6h1Afl
NiFPdLvLPtW3UTG8mXXOE5/M3i6amtvOFU1MYwYGPnYNdE4ygxYI3i5YauN6tN2n3HKHC8l0Ox57
yPMp3PxDho1jl7e1dcQQbsS9p4azRqYmnQtJyEVJ/CK661tlmLThkhHLWDu/lKlF50zOzj4oobUV
0vmWeNq6H0MSD/xpHvstCgo4h0Og71n77I3ve/2WaF113nc0o0yr2FoJnr6qDw36LHlOqIeJJj3y
m5Mrq2GbLI6rYhtLutqR+VCvkBWUgB37oxUtLWmfs3gdrLZ99pil1HFJdMB3IgAAWFtzabyubsDr
AKfGsWDD65HyB9MxxDN+GZQckcC3FsCf8/S8N9x059Tz/I06i1crFfVrXljhdTs6yQl3i/pu5P57
2lszcbiZMZx3tKFvFzzKpIySiLEVuTl+wf2mbmw7c5erfgpbYuqDuj3QBa2hM0pHxMsS+XurzQnJ
9Mt8igUcj36bI7Tf54JJoYvz/cqC4kl4BZvBMU/0w5x6X6gQvPsuSdt92s3yyHsw7/x+wFcZhY9j
6LPCZ419n5IpvSVs+jq0huS1nvAnkQoabuEk2XkMqbI0Lkbk285lBRFw00mdXVBDyGmf+n1LSk7u
K0J4WX82vsSlfkgTTPQ0iSr4evTCVombb0HdWfBpQggAjB34bf/YCxcIYxeG5LEz+IQ4Z9LjmwkE
hxhdWM+QCyLnasw980HzA6BLdmp5UiUxsLzGWB4dGtSMQZt5ODlKqMuAp4fYZTHKAxPx/HIRKElj
Nqw19EilVExAJkk7lzW2D7lWQqwyz2RVBi9un4EyK1UhQQ0Q+90ZU0fRijoR7iUOKxypznTvYa2h
+WSWglTGGbWgsI3oEUQGKZ5ZWqRxA11kQgg0z3dzqaeSqMw63y0oBciTHlYljM0WTQlai1g74n2k
vIb62N3O0Hg3Cxjpc4GjMfaEGg+EM3e3sJnsJ3ihzRRDiwLR2HvWzdAx4GWmq8O7wevZT1nL2ptq
MfQTgQrYh+BPq029ROGpnw35VArDvDIZ9x5sEaIlUHpwbgeEkXeRwSiOIXMSXaAvtJElwN/Fvqzv
EX3QDJ1suHObtmFZ3dRe2BAlD+Yizr2h4KVE5zDHaqQriGghSosrOvyS/STqneqisOzZY2I8etzp
utglsk+BKZbDDf54sJb+LOydQxvqwVyC9LxwWSqbKpvfK1Fbz4k1UKgtPk4VOh39VRaB7d6kRd49
Kd9DYmGw66bYQ9nsUeBy2Ml3MJCg6RpjSEZoX1/08M7P9AhNVRDVdCmspiFZCwrPJcbx8YssEKqz
ypIpmRmju/V7N2E5kWBDy05cYaAKj3VmpbtBL+IwDqa7dbAKphujH+UprGrnK91bAprbUTyY1HeX
fduNeyWp/mlnBnRpjOxuzgq9DfHc0LRvCzzyQ31SMvpuaItkWIRKRz/z0BPOi3WKNK+Gg2N3l3fO
Ganc4U0z+RMeSU+f+0aA0hBmQ+xKTh2KinFLv7k/H8hmPRl9UF7COvvWhJO108lsopSeX3GWZ1vb
RTCZhAVtRSup6ZX186ORO8k+6K1sJ2xwmgYP+iHTMO50P9tnwEXo2bRlM9s02pY4cyYCYZBKIHNA
nokCun/OK3feclRYjnM/+fiyrEHdwGKgD4z0p4oRIerqbvKyPJ4zNpvCg69AP0uXl0bQEZzF+IYe
q0Wl0WZ7q0TgG7XLlVcu/HszuR2cab4eUatDci8fo8H+6qQs1p7R7HLXWWI6Ja9R0/ubCAUgYLQs
jQlQN+MmMNq9bZXucXTrg5sWdwsaxLh1PW8bKXNZKanXcFCI0Sm6J8SoxY2fKtAH9pHCSh704uoX
Y2IMYjvGVwdMHDNlKuSJwPuD0GzUU6he66jobkfV3arWruaN2YZs7dZ6EMwq4xr0EvZC08aABSvz
kuCZN9cI1Km1G1QWrP8b/PCofd3I/SpHjySberrUguyDvuqefg7b/3ds/S9jaw+l3j9kCX8kn2xf
KxLx+ib/DRH467/6DyLQcv+yaJt55k9fDXT2/55c2+5f7iq1RRXPa2W5yJj+kX5oBWibTUBb2PdD
1A1/MwId+y80mXA9QvNXNMr/V/rhB+WJZ2JGwfOFjDpwcDSRCf/73BoObis6paYrkvCi3X+xd17b
cSvZlv0inIYLmNdEepJJK8q8YFCiBG8CNoCv7wlK6ktSKvKefq6HUo0qiUQmTGDH3mvNNYxAh1aV
lbKOZu44XDuamI6pAp+60fWsg6RsDx+YaEBtbf3y1332H1lxxktvzNOnsZnzL5oxHc2Yswi7nulg
0PZBOol75BuyNE5RBjF+1buVw0tvAOKM+MjuP7tDjV63KTxESjJtCDEJ59a1WSHd8tHvOv2S3xFT
veW58QFfimfsQL6F3wFhGeodedeTeu1/lIM/PzF6Qbwc2A1oYL+SydqL4MXxp+5kISCMqD7n/MOA
0BAEC8RmuMCTMtJ1Ap2WlioCmtWU6Razzoa+WDNU3SN41dYIUBUKZg8JOdZdESMOdRvBTgB/eXyF
uvhYtD5YUnqy/n0by7MsZ+3b4KB3LpImHords7v46ufHf87s+/MyYBjR0YnRwAIk9lqy5zKJGbU6
b09lF/r3VYTyAl4RCOVVXfbqChe6f1uHRv7p7cO+lByD5IIFiT2FME7uRf5YPtazqy90Fdl1G5Wn
0puNk5HF/anEuJp4YXz/9pFeiod+Hon8BB1poGP4rvfqPqtJTpklkoKTV+v2g3xKDw47j1dVVscb
9gnE1dL7RzaXwu8o3rtpXmoCl8MvqlfQcgj3HVaHV4d33SUTuyyS0wJ2fSjA2zxk+ZJgLOaipbwm
MmfSufS7MZdPkP3K/d7lfnsYCdci8A17Oyl+ZNwHQAiKD1ZTm9Y6Znj0vdaGmt7gXLiB8NEi7AEH
0s18++y9ouM9fX7UVyb2cN8kY9t+LXZxelEKEWp02EO2K03Xsg3Wsg42NVO7MjqOwEy+Rp5fn6tZ
xsBUbJUEpjG4Pzp3nqtgiiMEVsATvieN5T4O2Kjdd6TFeHC4XZ4/msiE0NQx41vk1osZ6OXtRJMi
0dnJWxepLevQ99adH8+7hSnib7sB1EejpE6feeLlGePMDxqj3LUmLJHcZiSS5bK4qXNwCEjbxujj
yNDwQIoNvQIh6w9wMXD6IJqFDrBkxSSdlY6rMG3L01gTJkOKNW1KGuyob57SZswhLvaCZJ4bM42u
wDFbapX3rjx1JNV0T5k1zkB8jZFMJmuD3c/wd0YvPcdoTK693tvHeIm/mZ+ScEY9tgtGT1NCqsKS
lTMusTnGSIAOVc03apLulr0QOiFa5+42bGVPLINp3snYGEGjuBrVP7yq8Ktv6ST1JGiMGMkR31PX
LdUbnJuDIf38MUHhzHNvEflDl0y5q2EJAmqWSCBA0vUOabd/KcdCgcJq5NYwFClCOeSdKBjGyJPB
sAQNFbjy1n3tXxIaQAqRAXp1z6vGpJ+5xBR58GA+0SCMz0xwBrfC6ogz8lPNJBWnmB88tnobdCfw
noi3jLaaUvoD9JXxRxstGUmk0JOXVEYm2UmqY85sLYFK01O2UrPELOWdVexL/ikKKpsUJucpkYlB
JelMbjjSQnnKbGLrHwaYFUlyash0iuwl3WlE24bmbcl8SrmTmO9j3aDlbLnq3MnmOQ+v+1ECW1hN
CUit5jEOY9OcP7ejpp6239AqsuqbCaCpow/bd31f6yfUEqQLHv1EzrvBB0J2KJoEBXzK/OdWdzXr
kE6WRduRaxBCCQAoyuUqPLLOw5D3YZdno9w46JD0AJiBEV6i83bcap9N7hivAQj6HcLezuKOGhn7
tiOBmULbOlqchpdg5S2H4ZxXsxcxrKwttmWeNP6yH7RJ7VVkUgZaiBxPoCDQSztAnV4wYPP7MdyO
RLoUmxbYW7YFaV7MgTcLVszSJA0kKGIoLCv6jlF71SYaE6QqSrwfKLyQbq31yux2ie313kmQShQe
S4t5nkjJDG/lPO1b1HUNOwrE+AUpwsMsCbdqywSFhFNMe71tSRoVkJ7I4mRgmO+aRCZQZRzb/Igy
n9x1XIjZEgVe6Nplnuoa2bFdWX6k6+cXB7aYHWGrcefcEB9L5zwFXGSg2IrpWa/c2Iy7HfHDNCZ5
GVvHNILWvu1rPgEzQ2KDN56h4EOA+KjHi8KbuLU1HpVmHRogNxokh/k6Cq2oX9JDuZyJ2y4B7XNq
zd/xvPs0IPgATCjYVMmDoZPlFNHfc4j1BVayTqokXM99SAdVG5vav6LnlbJnTGQ6rwq8YNqZvrSJ
jDqMGFXGvltvDLxn1SFOABJvMn+RdSz/jg1U4iNAY/4qsR4l2pObW8N0PFWTtgI9hEaQRNSEGAlv
sDXrDj6Q2Z+c2iespvRldyH6klcSve6MH/ALzNPbEPhw+RnIFVHvkrhYtW1HMSdnBjTBOzs1xYNQ
IcYZj6axte1L5VobeLfkxRU9EIl1DgqkDUApAIEA7Jgz4KF9H6XDbSuc8WvdxNae6WEUbrxM0Jgv
vZDfI/IKjlPZDDAuVG3Z1y1K+Tuj0/gXTBqJjO+MyVWbwSzSZN8gqiHYx6UDeplorn9f6nK5OdNU
tmhl2ri9UpPdeUyOlgC8eCz5YFXLonvGG8y/tzydu7tglWzWNDoU0WatH5pXadNn2Y3pEfF5UDam
zotOdUvxSZzLlYB0pDYV2RLjoarmmb2eWXTzjiHB8uWXjz6yPvG5aEycEEfwLSAlcaoWZCDI1Gzg
0alziBvXZePyyDc9VUHE37Gm4uuJLyVessW1XMc6lxuLdH9RkK7botvppdoqDO4WMkT0nlx1HqaA
b8QConxjqZNxBt2HCGyP3pAkzI9ikXFfTJHzMOJKgSDVpNON1Sm9PYsoc1NyD8ssvfV4W+zaUjdO
0o/kZ5vMT7lotBLzWHmR35+FcUVfYmoYdlLgTohMTU5roLty+pblmbhSfUvvVurTkH0cnSJq90Wo
FT+m2V/WEJzb8Zp9gEfoCBbEltlC4X/U9LDYFmMdgSuyWeamZoxvEmjdZ0SypmItzMaMWPYEKls8
+v59k2pDtMnNksdkhp7iH+yyMuT3ggV5OnoGt9RmXFbsTSo0zqgiS2HDS2aUZ0bTm3Bp/LwbeNNa
A6qhRqZfGh/JvQbX0TjOftcYj11Lj3BVGIY7HJLR5FepwohnNI6REx1qLgsKkYwm61wNQ3ehJje/
TQfoFR7DD+xDg9jPI+PZINONdiZZKquqi9JR9rnW6YucSJbFcBZBx4IhKtoivqMSocnuL74ols52
APrdjkRBjgNqvTKc5C0hXEbyyahmi/4nKuNs+oAMRPP5ZUTwECLDNOGohfX4leg/bQhylybWAaeL
cU2oQzjvmh60+CaZl0RHnNmpdcXUcBanwqlRMcl60B3oVDH4uYnqpt2QHM1VG72SPlozM52ildci
h1QWWMohN71mN3uSuz+zFdrdiR4SvXRaZ/LjKCbjLgXvwXytSfx77vUC+bJP4t22N2s/3XpF7IxM
IT+bRHN4Bm79wf0gzJJoyhF3sX1hhwvwWYbYPXm5c0ejkYBptWXjQERjYnVZde42dWxdmRiynQN0
PZ/vpZQWXWToucY17l7WDLL/+u4iJwmMbSQy2W0be1m8RrShHybweQ1cU8dNCI6M3Z8u6f92Ut7p
pCw7OrZ7/+e3yP6PVsrp+/Dw+PDcM/DrR571UWhQ0M372StBsP//HADLpvtZ4wSOB75CWhk8iwZb
k9+NE0GgrKClonu4DaGl/zvJv7lsH55vLxx2qxwGBSKvbaBAfKDnu9W4s2mLNDV247B170FlicNk
GVrD7JMW4hTDG1urujqyASVklNUIFSJd683oECzXm60kz1UnmFTEc4YEIie3UyoKs8CsJSKTfok0
tQabcNMl5rRbAk/jeiL71B883Fj1EomqntJR6Z4bNz3Cts/lEp46N9TpBEItmarZ3JCviiB43CZL
6KrbpEXQPyWxuksoq+PzERnhpMwZIlrhkB8mS13Z0+Q6ZCN5YwSOz5gRZ2Wp/hUWbDsBd8+yR+lq
8jKJxMDOg+L/MgwrNoFobvnuRV0sOVoqydxDNTXkqc1Gr+od71j+1mpFbR6Ryk1XMhZyOkRaSUIS
oaRKO6KRSaszO0TtvqokALNr06urax9O9M2cZsOlXGItAVoQdEc1HAXhknqbjo27L/y8lEFqV3O0
T9jlXTVen2HQtpEo1RdWZn7A/cD2k/FjqFed3IcGmPJdEZqR5e48QYIm3WyUBvpapUVT6gEjW4X9
ci5KwvQmuLc2Ez8yxXgvxcyKHQY79MUSDx6b+tjWuBGsmyFD0dkAr0NtJRiiqVP2s6SGCU99XVdM
Fbb1U93d/yzCxVNFDh1W2w4/C3Xxs2yXVMzdecvCDcL3Z3GvtyPBoWYTY8GXdjssN44772eVipld
0cIxYU425sOx+7nNMH7tOpq2xe9RrIBtjK3xKfq5RVE/Nyzdz+0LbfNlM/P0FP93wXtnwVvMxPSv
/vOCd6jGF8vdrx/4tdz5+j+GoBuGQclaIj5/mZ18vE641J+8iniNnGXR+b3yLRaphe5iYyHk1lss
Ur9WPlv/B5SUL3A24xxxl5/6vQ7/aga+ZXZiyX218rHikZji4Nimh+ZS979c+ZDTdUPpJt5Rhxt+
pqUtjxS2kRsFl+GxKIf5MIad7QZuvmCbIctmJ5QnzWeSEKA+YEbQrsjeQLrBejZc2VYX3mezGdpn
knf1t7hL0ohQQkuGQVj2FjoyNUfbnvniJiSs8X4S3Xjds/KSj8keJDzGqZc/DsMkzgfZe/exqlII
xsz2i1VH63JCiqSKoLPGA6rz5DAIHBxpbEmAt1B5MZEUlvPoGQ7xu7p7wPwzn1JfDR9Je7BvCJPv
5zWquvAH2qriEqrJRZb3MVadMkk/E6kjH+wwGj6qSBaBiczlhwYoEvNIJCCPNMq9wiLuF2s1AcNI
yW67mBma4c9hgf/hFpp2XZXpSMcXUstp0EzUxnbtOqsIiiO5f1hSzs04zXBsYavyVxDL44e5jsp9
Tjz1Rgxh/JndVqQCyyu8XesKy2W35uS3kxHHl3AiDqIiYnKfjHm0i5jnHmlMDjudtGiMDEXh3BYx
sYy7GYq4i5YwNpEfEh3K6yYrDebRduU/ooVS8LS9xtUDEluxqSAjDcgHl0d2q+kmbQ3md2aFhiaX
yj9rmNGBhZ8QCOp+7Z3siby2bTi4/c3gFnIP3YpWhaa3X2MN6HHgk2lVBfbs1Les8N2R4YgWVKbi
5DAI7IjiLHOihKB8rrxoTi8RFFY9oGF3+JT3KORRzHTemYEGIF7F84ROHUGwf7R0JwSIWYzpJm9R
55VA2AMMW3JaWU4tARMqBvVgR3CBpMVioY9RfDKH+9HyW/q93s0yWWueVf0YEejT3hyBJ68Se+6+
lazy2h5tUX4f9io9DFYpMQpMqUV0pzM81KAGrnAsMDesS0GIqdWgIrGkhQyD9HSijgxQ0bRO03up
Z6FCy6UBTaeahmzS7VxjSNBpu/FVYRILmz9ydU1GzDHVM+cWNTBikHOmqFOVnOj8FOEJKYO/LiDG
rgy7Gz6PYnQOHj7wD5HHMWgBrkFV3zK8YTNE7gSOPIPo2X1YGgDEKzSw7JGdYGAscJw6G6lmQTqn
llpNMFUNvFkMtW5pNMvIsaIdVxdsKxeycJxNUCQ6cwMQYYktZ8SaZ8aZCRb5otKR+anKvtFtf5+P
ukBRgXRl0ht9o+C/7h0lOe9LgGqxGuwpXKMT4A60S6mfNFFNzrpteyuwQCpsk3TujkQ5EMOQIjSy
lD+e99bM6FYW2U6KvkcUWszyzGmR+phpX2COKm1yQitH7JDudTea317jipOrDJopEJ8PhsYykHvZ
o4fkdZ06mDCrJG3vtB5lKkJuN0B2DANICeO2sTNWLa/AeuFDPV0REaACrBOAZWh10um0iffoEQPa
5b1vN6g0EPuttMoiVCC6ITQ13hQV2iPaxmWQws0h8KrNvX2Dmg3AJTQXLa3GOxBTMc6IyccsZ89I
LZ0B22Rq3jh1365ZnrLNZDeCRFMbiZrwkWlFYMUvhJ/pG5I11DlA9/mjBe7ok1tQW5E+lxOWGMdH
t+/cO9cl4bceMTWwSLWsKfCSWCsTOvrkNirUQ3HGgFvPeHqTMkqv5oG1MYtqb1/Ntr3vNT89Hw3A
HJuoJYsShHgfAI8vgrEVURAlmTwVEH53LkO6s6wxH3RGZHieErCuJH7CMJUdLWEyGngMy/h6zEnV
RHJVwkeIcs62aYEqoYT1yY5NpoX9by1C56WsAxquleeJiNvLFKTZ46ALbUMnkkTEztQ3uocMDR1I
v21ar/gkK8+7ijt8hEHE5f+UemJril5DI6DKS5DMKAuAxt/hgsf/QFvoM41r+9aVi6JNxvg6Dalv
89ruL4a58w4p1teMNFUt2xABlbPoxkl/i5igOnpxaz1YdAn2liVHUh1leeEZdbtXmjAu21Zkgepk
z1M1TreoNsjqLGjCn7qBTq0OYfoc9SOOgZhm6JC2GXIDjyUzjy4Nv00RZGnJlZb1rrfKBs8NItb8
tZV25uL2iucjAqx4S3ekOCVmHn6IyxkhPGTx9sv0hE9A2JOcI4No960ZIvKcDfW16PoMo1U931mD
hWI5TEk2y3GQRitXth9kNJrnxEKO5yDiFwCEo6fcbzK+IUjeuDWRFdHtwIk7UUBOgTN18cda1i1i
WEddxW0VEvS9rPa80dVDTBzwnRXbLg1Zx1CbEaVhoJv2zBCr745okK67fmrTy6ixjK77hMTeR0iI
TcLI9E+MJPNyXykq9I+2gEaEj7Fyet5Eme6ll3MVIxoprb7Y9IYj15M1KNoDupofvW5wNmE2lQjE
E5ZgEkQIdG4awpWjeOp3o17cjUrJXUIzfcNNGh64lPm6L8v82mKTtBale+wjdIuSILjgv/Vx2SXd
9E59jHaBqed/Lo/X3/OH8aH5/rwj8PNnflXILtt5XjTAam30re5TwuKvKpm/AmzpiCdRBboL6uff
RAAf2z//B4wpm3G9ZWDj/90e8P6xbcOghnYEuWambv2bIhmm7csimdJYOAb4Qd3w/IUv8EoYkKVD
jBPdl/vJmeJPbNZL3Du1xZ4c53UVcCMX3baW01VemfMY5PEQ6IzkyUrRIbQMSYmWz5qNT2HSo+Fk
o+kENO7G76pztLXHLyc8mTT4POquSpjA9IvzL7bWeGsL5+m2jBhRTZYebRrlO9OKk5jscd+IWzzs
5bkiPho3LIU0Ph593vO0h/ZCwmxoV+jZuq9CxSsd8WUX44KgAdKcKfIZCKuwsCkqke5GPpyJZM+p
D+7MM0PqT3dT+pF9BBz6JXWl9inJC+0ukiWuItZTBnpmxGAHhF3ttfXlrMDuFaq9Hjykj1rGl8T9
gL3DvLbNKdv6Pj25SVgaA4Ky2xGI8KMmyn2koMS4jf+024g6mbem7MhvmTk6S8C1Q8gRUxdcfOwg
EEqb14nh3YVDf8H+gZAxoEejnI1zBVOZdbwcVqbHO9r0SHKbinPbqz9B+CVtxOjUkRCdL75DQS7R
ZSwJ8dmUfZFiSHljVrcolufPJBvq6xoe3BpOXr+lFh0CONUBt+CdskLM14w3s9BZPgKRWIJf7Utl
7Ygl0C+tTNMYRWfVbdT6+X019fY9vdRyx5uQsBAGSVt2fGpVdqDuYr340c71FXKimTAsDfbCJB8q
22juaoDpmA3p7yMvzOnPmvUVCpE9pi1a/aKTlxOE9E925t05bVLtKtUQ28CEDm4+au8Zwsrel463
aXLvA14kTa5sa/wQsa852iRSspWL2uLa9EPUyDpy/8CVunXdmbl1KhImyuuRdDCPmFs5b/K4vLVQ
2mxgUTY09yvrps07f9t6Yclwjs5JyJOzSpMhWYRuA7loSvq7RqKMPES1YUA5myqwiMJj+zY4FSp6
1Z/Bs+xITmk08YGZQHKGD1T/goJ4WLdTl+AhSREaE2NUVVvDYzy9Qvun4zGSojtUhI9jeEu76Qe9
plnbUetV4Y/Jd8eL3GyoPyNE65sch3WzMqAToTU1bv+70P9vFnqYV+abK/0ZKVAv2S+/fuR3K8T+
RyDdIrIPZIONGO6Zgk43/9GFbdLXsMH32YJF+Hc7hPX298ru/AOoySOpy7QQSDjo7P5F+8Owl8bu
88YvWm/EUby/HCwupvN6ZZcIhfI0Ug7EVpTQAU5jA+OdgTAcY06r1TyrrjmH/UgvzqrCU4UHEhCc
0LUGl2VH+XGbV5KEt2OLIL7BxT8rdMN7AJCGE/TWIFrKLx7DUxYT8utuGR8W9njqSDGLMaGYLttA
G+0XjNmuzQvnfLBl+y2LxusOPVoYGKaGuiZ2XICnvj9tWxmhMp+nW82bWfowFSSsLr7BYHRF4ZvO
O9NoWv28JC1AYN/W8c/gVUzaPdz1Xl6lWpjdNpJojzafrTho2F0tdrshrc8cnvElX8j/pFmOXXGI
yZk3yge3uatdV2dgOTGoWUAUlwDfnM/Sdce15lfjlwSK2NUsUKdU/STIXIihE6aDiaO0smLMoF2l
1btsLvIDjef4Cy5i+clsLbOCYZj43yrf+5ar6eThfsQTlhXTgT/Ci6F3rMtEJPre9/HNM9XyA7WI
6FeD5aO2TUtGdTqmSUT20cCYp3Z9us19Re0LXmFa4Toc9rjyiqve6Nt7FRfhwWymcTcz4bxGRjwd
2QFJDN0JHQrYOVqyj/M0eeR+ENd0qQdiv0AcX8ZF6e2UcJp9WynjnK5YeRfPLr0Wr6+u2Eu5Aba6
mMaH15kXtkCmrxEHYa8caVqXlY2MwK/pixRMIg4EG2IZ7cQ0rEm06zeGWfYbbSl7Ry1UW4sX8j63
Uyx4UyjnL1iK6y3WZW1HqNV8sGNz/qYXpnuIW6O+nfUpPPWarM4rLerROM/adKn62UFSznTU7kyc
Hb//u8toGMUXmjDruiclhgxiuZKDb5fNMUWwN5bHImzHvFq7aJmI7zQb7cbTDG/UUWzm7Thv9Dg0
9G//XVH/VysqWFbq1v9cO2/RCiYvh2nGz5/5taR6+j/8Cl1ATaOdLJ70j79qZ89daFo0DXyWbRKy
l+bz7+LZYICGQdW3+GVL4/d/OswomQWLK/gtOk0kwfri3yyxr4R7MLuW/jLpKILCEnX8wtp6pgON
GMSit8e0ZpoEhQd55iM9ss3YP7d7y2dxFE15ToYOLDI/Ht4LqOALPl/ekZWgPPYMzs9CSmdS+PLo
UtIjHTDX78beHDbuVDgbgy31enKTYv/ssvxqrT/X2f71UCQ8UNjbCz781aEai2gVA/fhjiIuwUdM
VxgPeL1BMSrX//5QnEqfQYDBRX9NuWW3n8FSsrtdrlSCeG2W66brsqBTbn94+1CvxgNPJxAwn24z
8jUtsWjXn18+lNp9Biqk2/lJiGR7MlG09M4PNTjriCTIgG6TxkgyzALEt1Xw9sG5B/+4ekCLmXJw
FyNPezWV7VRMyGNN/1Qj3gZTtSKJx8C0+PZR/rxwghQQc4laZgzCXvPlV2zJL20HGfa7xredhntz
IfkKcDHDJq0LLM1vH+6VHpszKhYPAPWLYXKbLKOd52dUyMHEI9v1u2jCBUs377trmT88iMhUq8UZ
gZ31OxLfP0/jkv/hA7WjroJo92r3Smp7Srha1e+onAV7Uh92gu5Xm7e/16tK6ul7mehDGZXpPtXb
cpqfPeh2HxplJrN+ZxEvurI07TxCOUvH2gywt4l3vtPfzuLzo726aLgwIkk0Yb/zhtGATw+VasDF
V6dPJnsfP1+WfX37Cy6V7qvbkWYCRg4qRbTSlMIvv+EUZ443jjx2RuzYl3Zlg/wgEvPgVLO3ZyrD
VlveuMPkBZLx8SPeRw/frbWHy1XtBsIwN72C5tqMbv1NKeLwJoe+sxl28pbOP9xhECtGJud3Fibj
L9ff0m0XKioOPjBpr+44r40c8nd5jJKxB1JmY02jja/EsNE0iw12a8igJuiYDmRW06FW9hcceIqC
yatPLq4SXGqRf4muK3rnWRB//Wisz8sTLvjPq4+W+jmqW5F3KLnjjRnGYk3luCDHnI4Mk6j9oBKL
Ydno+Pma7IHyqEpst8hXAcoXio3yQFGKhSVdyQl4m4WWch2W+P0Iv5rOot5sgIfO2mHO8ATKoUNp
4C7RnV3j3/cIKe+7wQsDH01m0ODI2kIzXyrLxtv0lTp2WUO0o5bTEA8F07pcnMV29gFBU3vKbKz0
E1kr24YmDX7/7hK4w7yXCRqNyc6tlQrz8FyPJ/2j1kh0DWWmsVuefmSTddN54BSI5cz2HXT9S35z
uX37bv3zAfGEoDDgqecd/EfilGoj0YtxuehtfKLVHGO90A9Gou76Oaw3sK6Mf/1IckRUeg5GGpzA
r1GzfqMGz5+zbteE4cFo7U1uRN/80j5vLDTHqOk+vf0N/1y3F2g3tCyUywzJX7t1CGIfCKvpux1p
mIDSB3s8RBitScBppvXbh/rzNvWYADjsTdl8ojl+dZtGPW0iOLq8Bb1BnFWaNFAEYNb//zgKm0DK
FObwnMOX60uBa7voRk6g5jR6s5Kur+3R/HpXbx/G+HMd49t49DOpFvFsv05TydAPG0iDkb0ro1oj
Jwe/owr8Ti0YOxsBFCUFNz7SLLwB3kfkmbsKy+h7y5L1x3KKgQ7xDLB+sUBcXr2WpGQelgxuu7MR
AmxGtPFbBNLd1h67xAvgJdoHo1Q+Zv7qe16N7g2wMUzQAhxdMc/WESH+e1T/1zowXmJ8Jiw7tHmx
moJue3kJIptQwjC22l0Z9eUBTvvG19n7z2UnT2HLhil2+/pzjkKY0Ti7rB5o1oLGNte+B8rILfPv
uaGGU+YpXPrjlx7bA+icrr6dSlgndZeIPWz68VhO+UnTu/eKi79/AZ/cH4uSnud/ufbP3sKhQcbp
5I2c1Hi6iRq33vajHX2IWcWCWrrpOmwhoRSu0/HGaoojevMHL3Hv2sbxDz0wukDBot4gS/avK9JW
7zx7/j6LsDxaXuxvkfFO6ENSbZlW5Vv0+vU7r4RXFG/WrOUSPPsGr56Cscv5wNVEx1tLo2M4++Wx
E4o5oMYeP2lY5Hu29WmqHwCEDkFbg8Z4+wF50rw8awr9+giIC1EYmoSovXrcPSI/sVj37S7V4oXQ
kXviK2XVlWu35YrUkscqH9RH1zTib1jaun4gqbky6RpbKEmGqN2aektYvGPDGkEYADvP7CFfckAa
CGkaIIAzvk+lYbBUureuxfyRFNu1o/kfay9t9sYg9HMGjfl+hozpDvqtM3GgyDaQleNXEe+c8z9L
N89hN8jIBDmRzm7p5U2zVD1ZmLIgyDT/WIY7d0jztTYDBapmYb1TJ/5l2Xaogdl5El5GrfhqRwE2
ijYTi84O2csP6Fohb22a8DZWjHeOtPymV5eRIy1uTtteiO+vHmZAFz1YCMGd1ER3mWFFH5FMgOYv
JnYTYspQReuO5h3JcX4vteAvb18HSDVGXIsXE4X3yzMKggq8cqq3u96dPtNjvFKuRDUR/sjd7itb
XuedF9RT7fnHdxUwsw2CmwRTr5cH9AetVUnCLcs2vEQ/St0DdHo9lYyirGH+jgj/rkpytY6mmuKG
aXQwtBF8HqqVt5+ev95MgsYsoeA4f1+/lpO+G0Q88PyOXtWt9UX9ZOOiWmlJFUHtTX+8fbi/vJod
bERcZoO99x/KXcdPs6gg1Hg3TY3aMXIIg7n34nf2iH89vwadDO4kTi+KvJfnF0lUBNSsbnfskREz
DAroWpkS6BB62mFskdVEmD4Q3AKFGsOogD5k5FivtLMZHdQ7z+ufm3KcruwK2ZRjHRevn9cRcusc
t6DSrKHTN9gvUb0388U0ENkaEbkZAJUAx4OKZ1Vlvf7OY/XaMbosj6yLDiebuh03/Kt7rYsGhlOl
DuTVsOOvNUHdAq5L1F22EIuQEDuVQ3hgzy9YaZOPvXtwZC7WelojASgkWbfBqE0jKEgrCkm46WhA
i0i0j2/fGX9ZaBBPOjTVdcSXzJVfXjKaziS2lY7cOSpstr2NS8RGVAWUVyTvnJK/HAqfBekTOrQQ
j7Pz8lAwftpaNq7cddAHf9jW5F6jwCualebo/x9fa4l7tHVnaan9sarVZT0DyLLlTphJc+0jjd9W
kxuepU338PYJ/MsixpFoi1AiYgx+vW9k7BFBm+JICbPnNf3u+raIpLnh7YabVUGaJ7Ftemf5+Oup
ZH9tI4w1bIgGL08lQdEl1l4hdziehqAQCoUeiNt1o5Mg9fb385eR0us3BJWGzugA37jFivXyYF4G
nT8iC3qHkVSXW2eaOiSFsT3Oa+xci4Kpac01eUpdHkhrGLUtO8debUC4WsV14QkersSix3gI2ym/
N+sBB1QDP79f47lxkhUt9Pihwsh7kVkYgbaEdUYp7EuDnJySr2QFkI/wgfqDGA1wXbo1naEh93cJ
Lqx5g+k7Jigqi407pzfxQ+a2IsstNQrlbCy/js1P/mgkxXcnpVmCj4AdTHymYmJI102SNTGZAZUx
HXLSl8QOW2FhbzS9No4AO5W2a0GstSdRlL0HKaufwmunxQ645X9rI56tps3UCjQoyvsyG+zownNL
4a57QarTthcyvx00RurHptSqvdFARYSq1pgNbKvkvmAetnAIcYYf3AjkZcCcpMq2BJhP0aaocdee
pwPbySRw/HrMd207+tkab9Wk1tWAU/WsgK2q03coanNdAz2luEoIjXhwMURNK9JCVTCTGtjcQvTW
3B2esnS6GkMXUFhiw4WcNEkEk17hLdj00xD1RNLEais9hX7VLiO80HYdzXPQtqm/KxteUZs8XNp/
umZCtZWt8D6kMaxRlReVFbR2PDDsrmuxL7z+mj7vtsfu/jGszfxTrnn6TVc6+MaLVO21CdagJf3L
ngCaUrZbFbvlTQgnerCRokHDSHaAeMZ15mfFNuqHozVMsDHr9iHNgMiL3gzXfaqsLWbNR9vSRoRx
U8tnaNyd08LhRP7s7GwAZisqZtIw0WuctXatvrodLiu7nyB2u8PDLB2xHyxFSquaViLJ74GYbBzN
kVfCL5qNoZcJJGVgfL2eGGdekccXWK5hrrtM4tokvFezJXZCM64TQjhXOCTDQ+jbKODSrKeoQFGQ
85ZA2unO11muDrJDOgmNTPBHdpnRXVKj3Rwzpcz1rGfwE8kpX6VxOMAlQZU6opBEQOBdhZ59gw1S
bYzRiwmwaOYAWlW/Ds3JXECn+k0Y5fWX0lvmm7ELDbIDh6v07v+ydybLjSNZl36Vtt4jDfOw6A0J
jiJFiZq1gYVCEmbAHbPj6ftDZNZfmdnWVVb72qVlRGggQeD6Ped8p/l2NVmttQ5gAkGRYoelw4Gd
Q2LMq6LpYOmpeWiVhyliog8WckjqCGObO+q1JHD5WqXRHgPmQ9qrV0Kv1WbUg6XYIXot3QVkHuel
fxh6r9oOmiTU62iPeeBHxzay0tCNa3+jZ7bG+7Bg8LMAQBLnhmvaaMOdjBugXP20AKjbU6cib1VM
5HSVVn21chR7IOkpRRUlmfbSH77tFnyXSkc812E+pB3tAH0tK9AuKybNhjQtcmn3mNc+nRUmF89L
if1pCj3JOYKHKTeJLO7HN9w0+a2kkIv1SATZNTcOOn28JJy7GiPK7N/wHzUoS17uiAJn1Z58NcZj
+6aSxmsB0WLiH/NwBqLwphnWVgfsC+uKRKjYeZpZ/6SVPhd7K4fCGZaYyYeVqrF6nzTE7Ayulg9P
sVCDox1Zz+otS1pJoLfhlVp1eVVQrVkOjwlb/TuTrs3HqKzy9DBmbrNxSNJTJmb6W2Di47yaJMu4
JG31D1ePmCeDoBMbb9aLG8FD9mdHJ5cLDjWG8DFCh8YR1boP9pBH3wHL/R7aoYtgLKJBD2flT0/o
TOV3IxossapsjXeizU3IEc25BJUp3shaj3COW7XrmFgefWVnb0PL11Fkg4iOm/I415ynU2ruD3BB
2he2cIu1CZ/5AqPgSkgQp1/hlcqfUmC+zidNvnrSTPdZE3XwMQkbb1PylC9OTfQaB9KI6yByyi7s
55YPR2FqDuFSOw9j10XGZ+A6EDHOQ48VMkJxFzTbnHNTuS8FrJFVl8YDrvBxCbU7mKTwAo9RSp+C
TSdJiTSIjT0plmtQG49xkCUPepkUYJ0JzG5bXk7tmSg0v6K3MHtuYkoV9pmbD88o+P14jqMovqS+
pG5TF/O57nz/ZCc2X9Wiz87WU/dh6EBVrphE5NHFnHwhYSreWd2ZGxZnDj5QPqqbCkP3doZmux1r
mMA7pPD4Qj/L4K2FkzgXPkSSDxXvLkt4eczLwL7QsSg+miFu7u25MR7blNc7pTB6Rzmf2vkJL6pG
+gJcnSnvhdOID2c5Ya4rdwbzlVO8vuOVTfcO1GNueyBvjMaW8DGz4DQPrfjolGheh4TXdfY8+ZOy
TFxyc5/wshLjjY5E6RR+t679DLBEX+xZauNqqIP4MmFMgM7oEnf7hApg4+4S5mjZBdECI1Ing8cy
cZogi9da4kuJMynJKu5QPQxXiZv+URjKwd5QR0/CTeJb1+nrdxfIdNj1CXg2E9qIQV8IQ6TTW+Ym
7nx5VI0ehTEIhpum5JenC3Z68rWM+yIlGZDm+NdC1+JLjwuM3IfvMIFXOC8vtiWLQ0M9YrTqApY4
ISZZAjdlx1+IhsCHhDaSxctmUfermc85a6yqfVGKpbXvDe0njXTOOopUcTDAJXKV94mg7gFUwENK
x+uzXXe9B3uWH7Jw9Pzqd434YdGB96AFsywADo3JRblE8FYtfoPXQs7Tne+2/bMupvyaLm+3CVH8
5GRGdJX2wDfKNbVlY7fwA7Q6udgtrxq8TXVHVYj61uc63WkTGXzci350BRpgH6SeVCfXGvmK9Zxf
GdmnJ6pm208M/Fjt5oaV+IYePhI7gjXfOuqTqF6xb2mbVeVqYDhdrYYgYdNHoEFzcqOrnXDkWuHY
J+JYDgO5gqTnSpphIXPrJeMzhNyzkkuRZ7UBmHuu7zQrY4k7qGLh9bZ+Mhxcq/arddB23zUmT3BS
Os21shzlN7BH49mOCTUPJPq+6JKCaMNHT95zt5i/azMTzdo1K5VD13T6L0LVdO6QwOHaF4KXhW6M
pt1BmifRsTR2P860vF2DTudu5rnD1yR8ed9FFYt/aQps6orupAycpNH58SVyZbrrgt4HjeIDK4Eg
SCjb5/NdaXH3IvFA6veNRl/TwIGydAiC1rx4vuWdORNHW9FHDTcxgrXsTTurRxC2/Pe59bvbqBTx
biiKYW+7JW8Nj82TRfSiXzlenN7ReSq2EJzap0YMcBLm5Luj12krWlCdYTQI68Mhe7W1BdQHQfAo
NC1qHpzBcncGr9cKRdMOczrMxAosjLoaZTPdMYSMq8rOomeziO11odUPXWCfB49b4qTrKWcZSPEj
UJpbyf5H75PhmJWi4dvm7kUfoTpALOG+QRxlN+mpdp5cTVwoK40e3MisD8GUAoXvUuIPRoXYKLEi
H5y0Ow5KFSFlecNZj8fmVMVedaQdBiCgaTECLmWOrFB/BA7AkJzWzmteD9bnQKexBL3NLQ2+2WxR
kVUROiViYN9MU2a/MG/rUKSm+iMYF52p7rYJm+WDpEABtSxhIB2yWr340xhfdSxRW28Se7eGVx6M
Gvn+VNZ7f5x/sP8r3/ISwyrPHF4kE2ItN3pOOGtPKVDlWZ63B7JctBRFGvC10hbbFnrFTWL0IErV
ON7Zfq7vrCxrH3pJh5I1BvG1b/kmvRN5dz2QgxWLaUXfRGT/AFziPoOuKfZp6j1PmU7x1RAnzIGM
cqtyMYfW6ZicU5/FDUm1Q4QV+SPRo3E7+Jq+60xjDv20t8Jx4MPYiqRbjZSgbGKl3BuGC/sls51d
5Uz1lo8TN+A643Qau7hQgyIIvqlhMl8mYRu3QRnMuBZK+1EkU7aemGG3DveuG/xOxfOS4LxXA++S
M7ST3HrMhasGROkmJs70NSM1EaqIu/RWZlwGaVXEKebpSnBbEwrmbpm160lAQUVAoP8Bb3DvUShi
Qpz8kakpP2Kt2nfkJqhrsDUMytl0P+tUY4LV2fJR3II/yBjUHGBwgKtvS9uJngBLMGbYwzbnFpjh
te7SKxa5OcSN6N+0aqm6omE8cQrCwlbjXAiJ1PU6GQMD0aIAtK7q4ew6Go+d0tdyPnBudRTxlIHT
sRaubUZMmAAFyaBVoWV8jNDQhnMQddkrBYzuzjFYwLNaq3lizYKVRp9qVEiTlDwpltmc6jzKFlZ9
k+XHYEz1q+PhGs8gJEdDtx78Nj8XvMs3bQWZqbXrAnEU6G41tt2JvS9pP/IwxqQFrwGaKeecH01d
LeAhZ15LwpYLFS3xV8PQGa+gXppDbXofxux+RdBV35lYi/eiBeaVta32REhV21pDH286ry/vlcvE
UqiGwg3MxTOcXTBVjEPTHrrMkB41qx7tcPD0lkaWnFpAbhpufdGIB8L5UV59YX1T6yuTUosaGYC0
Fteok72XZVbdm9Iv792UPfIqVdxAs2TsPovWpDalzZJPGemzWJsaX1DiAiATk9UPysah/tow8fC+
pRxywGQUPCU01zoUwueJQob/jaclu7O5ILjJ0p8/qqPUfGQ+5mSal4l9jPOp/aRVqPts+5YlQqv6
8ju3l/bddu6id50eio/8F5+jtiHatHKK3s284RBuR6kWrMUctZ+aA5gd2vkQYBvPneqBtCc3hjaZ
xnrrxR3FxXZAnCvsKb3LVonZM+DUFUyrxO2hGgUx9beO4fBvAjEBe/eyIHdCu9K5jCqLxoBwIHZY
w2nBLhVWuLQ8DjET3zRL7aq9STGMcm7Uq8EAWS/GNN4yvPKVZ80H1WOPrB/DxA6URhnUMgIAHGd4
4TAVnLJEp+LWbUqG1iKiShEyG4+6dTH1wOObgTJsmuAAbQFXKr/Nvue79tKC1DgSkn7//cV0wPWC
jUaeTNdzq+NM8wwyc8RS3XpnBeTfLAkbbs0uiJcedlj14OAfq3ZFSmfu4iwA41zlU74XBlugiymd
ydh2zkwRfdPVD86Io4K3EL11PUaS3y/3HPYhDbT47KbFxUBVnsL4Aeq3G74Hl90oOQcIemdXM5LH
XA3mriK89FJCPrzPvYActaAL4RF4S6v2E2v46GL3/NJ7c9D5GZnK+anTKuLNc9VUaeh/lDZBZkv5
7LL7p5SYvQyv4qB1/P25MtvPlNNLuuKHDU6qHdovIpMZJT19A2SpD3Djgz7CHbsudD4/9J04pEwq
9n/HEWqlTvqyY6JzEltkB51UVU3dRFFk3FxSgmB8pjhw8xDm+UV9oU5bTuX32KrMGb7mJRksHfIn
I2ThVSbt23gDnwwa3DayqPUjmnSzH+k+vy9jfzrhZUqf5zkZn0ZsrL+v1f+LN/g38S3Mnovx5v/v
Qb2tmy75X+EP3khWyF+/fK2Hz//zv//4h//w9ru/ITy5OFGRSDze1D97+20CXoBVEf783xta/2FE
tQOMqPgq+GO0IhQcdud/eP1t57df9lTW6r+HuP4jrz/b+L9se21yB/AXkIoQZgH5/z8yJ5AH0bqT
RwwSxS6eccbEqovC2tSRBNuz1tm04JXgSDhxORmwJ7DSb3Q4ueQCUmPfDkI7gSjpN0ryyI6VrLE/
zu25Jr/PyrU/+nL0Qorn3Ju6r2iCrVqxrqtYu8HQYKwQqjkm+2J6yuDGVStQk9rOELJelW0m6Q4C
x8LXMwhBybRaBUNESakMsCfxb1aJQ1Fpyn0B+MIRxZNFnIzuqfi4TGjNHjZfRhBh7GUrrBUKBQNd
4R4NEOZRnwdhEsvP3iHb0GPyXoOszdbYctQ5amIC5B2YlEH/mWisrGXRapsoy4yt0ud5x4KCZ2Fs
7gjbVC8BvdmbVuQpRRMYfKbm0uSKnXKcdz8as7O2hVf6nOVFs7dKl+9fUpTLK2WHXeUH9Ib06dXD
JE+y3Zj3bFcCjosqYigWwz7uskujAm4HbT7T5kgJR28GyIe6sHAkOFYYp4vUhNzH+btoj3nqnRMj
oEDPKq/0e1IcF3m7oOz3gtXVKoIhRgcrcXfbglNpRvpOQ6pBhFTPDkeg9dAtvwRNuhy32ZgXqgdE
5mjskvz+A0pvaE1TeRRs629Eg9HDMln/zN5WSwuxdWZZhX1OOVbK6LiS1AAGUXDsVK2v/ZzKvXSO
tGdlpXTi6b2zaZf2Iaufpi0jYbDSBiIOZp1kj14m5kNr+ENImkJu28kg1txqKmwn3Q6BWiBW+/Fu
6tkKS7xJG1pl3wUj7Q2Hl4MiaLdm/STDvm2wHMOFSCysSYEEiVAU2ibP5CMNVM/+NJ8ov/UwSrr2
VqtSndXvTOMkJRUzM03G2naX1VGzHqlGp2Uvo1LKDL5IE2QhuWYn5Jp4LFoQ+SOXBNu9+6DO6m0f
52ptwgpa5/i7B5+uePrn6EDqnIM0M+Nd8fhb46S7oQXpY1Y2sLXEF5uM2P9+IU6uqVr1V4zXAc+t
TIZeLOx9MpOKwMMyUWnI/+Nc+6q1tLjl3hSFbtVi/KiV3FHvbm9qi0neJe+4jazsqTHd+FzpSbm1
/A+Sk/oRehmNJ8LVHgsaE5Zq4cQOKXlLrzyA/XVFywL9rYnaiTRoHvVq8kPDC/Lr7Pk2W+353LKv
3vpUvC4WRaBweQ93nmFmQ8iGY6Cp6Xep2xCMmPNyY3DWX/dObobgajNWbJl7MNhqrNPYH3DBx4fO
GcwbHpzIxWCYnxY5ZdsTAA1NO4PhHwdj6Iyl5Gxbp+vWyfQnFdn6qtOYIspBsmNMhAe7fqacas6r
h1yz1F0kev1odCAcwaK6CeWWpDA3rvDHcOpKokgFeCNLtewd3YZqDI0i2sDVThWugF2du7eanX+k
bDbWWeUXh0F6HOj8gab4mddTzK2z98jFrNACvxmj/ZAh0TmKge7OzO0edD899NXgHn0iMdRPOFeM
zJI9ugUNL4AwPo+FG9o2eSBTBj97yLkpg2lk9HdFXyG4ZClk71T7Ku1ZbYtmvmk675SO/H1gnrsR
aY5BoqqYS7VmzbKDoHo0UG+ElwtCRvpD1vG4ohTnoYU0svcGJvgi97TV6PfdGtFWbcy0RkasJJcU
PSVnolfbvjR/BJIeMj/NLLKLrfMQmbhwSy9AMNJIpxq0pdnya4BPS/kNORvGeGunF4ZxBBaSb7OC
XEGuREshZL7s+kp/n1j6pS7Md9dtT1lsZ4fWmZ7xZHHmTl0iEMpyD2gt1WMQDC8FOK9QCO/LTcZx
PURpt+ZM82ga/Y1nd81S/XukPbpcca4rzgXbb5R3KmLJX0ZW4oOfkN9N0+thGtgRuLK+3tk2hlSc
ptlG4qY6wQJt8Ng1/sqxIrgdHDJbK3kPlB88Klvta9TBm9nN+u1gKrklEEc3hc93rOb5UQ52esdW
5JQZPIQmwklgp6i3zI0Y+1fvOCu9dB4Ep5LQ7WR6o2R7YH8K5XBgIx53PYVcCY8XCGruW5FPr2PU
U2CkvM+aRMYqiQt6V81u3E3VpNEMFdEFUw7BpaMHV48BwEjCFvzg41kQa153xJaYxq91NtfA19Lt
JAkRc0NjU5hoL31AEJiqlk8rFeSZi74/+MPccK9JWWjB2qVJbUqPCf6uXcyij3Qte/a+AZjhF6a1
S1G6trE3WluzELR/2sLYxV72Mg6pc+BQ8qjAVtI5S7OfFn9bmvCORVVEW9LVCD/CNbZOjchk2KV+
9AUHltrmST5zV902kMDD0VeAMT7o0Ky6JzulyivnmkWlpB2RPY29rHwkTuznjgIwj48ipw8KZCVX
X+lfIqcJRrGAbfPlQ1ZnpdNae2kikhgs7l0zerJ6YDCkvTDDIIpsnLbm7o2QOXO4Yu42I+fK8O+5
zVs9TBV+6sYaWoLqGSK058CMKVINXQAI7tw0/8Ul/j4K/5vx2jB1/V+O17uvuon/Wjvxx7/5Z8Rr
YQ8EePjNXxQxZuR/RLyc31ziFjxsmGyXOBB/9I+IF9aKPyZpC2gYIzlRLsZvhl/zP0p06X8dpLHu
LYQGvhiIMhtziLt4OP5kMqX/F5Zv7Rd7y4/fxpwca9dyzMeD90qx3EMzaPtqkVX90nhlY2hse4/g
Ksprt0iwLM3NgzUy/rSLQFsZFKoGi2jbKJ06+0XIZdxovrm/u2GdIPPWi+ALM0S849jUr9ovOXgR
hq0C2Vr4lNDDkZngfXhXaAv+Hc1WRPi78qYa6ZtEklsUGSk3rWaaAE4Qo9GM13IoL6o1HWy5CNYZ
ynWzSNjU/Tph7Y0e7V9j/2imATjFRfSmARjDADr4uAjibRe/uHZJHc0ilnuLbN4tAnq2SOn6Iqob
bouWuQjtbMo3Nsp7jwLfL1K8WkT5EnW+BqVM4GAYw2aR7tNFxKdKfgbTgLAvCskGbhH7m0X2HxcD
wEjb3QZ+wWe3mAPsxSaQLoYBdoY/TBa0iwp+ZBEDdDfFB5AtRoO5q+IN7yoFypgQStwIHa4ERMxL
tNgUyI5Oe2EheU9ebVyDxc7QLcYGbO/bMhjvASiU1xxT+Skt/IYyZwyjObpJcYbcFjMW+QNTeyXz
1x5B5h4frH2wWq1bW1bFllnEQ/MgLS16MG3DubFzxcpIK52Gkd+VHOpFetvUxfgaBWwjGHiD56m0
8mpV1z26KLfUUwJ1bdOOORICdtx7b2S+rwprecqb0Hg7yxdvXpqxAMq8oXiu8sq5cQqMNLpZwGiu
fi3UjAL/SawLitukSVlXahm8eIHZG8g5yHOtKbgj0vYMrqPWqyPYf5bA0q88cEUw2gFx1xQ96Ajn
Nwo/0ZZxOnv3TNZ34RTF1QZLVvT8i/ruW1G5mcq0fjDy2ri13AkS5rJgYZvM9C6IGa8ozWQjlOYc
+cpMmzYdOv4d1U7pbQ+LmgNizKxMcpv3byw5UHUj5lWHdFXYSJ+mC90qnhUq8kfTe9ZBgzBPnxSz
6p68EX8nGaY7XkCNWLJKKVPCAfyIFEuGpuNLYklWfahXkDvNmEvTofwv3zvtwC8vVayuXqHzM5a1
jkjh9ixwa4fOSEvxPgi/4AsC1UjkpmjSaqM4zCxjpnij3SrdpRz3l4QRglI0pRTmeklXPAujSm85
CrJvgiq8M3pLfDkTck3U1+Ly6yfLCL/526E3+PKFaXr38Uz1LFskx11bDJ339rQoz1pXfhfLHpQj
af/YZja93S6YX2Ln/OK/dCAskt2TR+XwN2jgzDw4AzeRkBSc4mTTLpRRO3v/daVlTsd3m0mT9CtD
IQek0xhsfDuoL6Oge4YZJcNCgH75zDbUfBmrxSbUlbZ33zixfajBvV0NpuGwaVj6m3Hv2XvmYu56
vV0dtXKxHJvRKLY8xLvPzkvS20qvXdr1XHUjI8O8RnrmX0eWCpuEKzJfUWgevQcmMvTolAnqbTTx
hQaf7+gpOP1FnGgP9UyoiLGtfpAxYkcNlgMgGe8Wrcv1QxorUOptvrCVDEJO6zrjlVOe7ZwM2TIp
Aq5NBrwrfHmQszHbgomrHvjoCovVm4+ivjblcv7I5tu2Sm4H6Da91j4OklX44NTvFeTxuHTpJPfP
Ztcjm8V3yUIBK7pkX2bNtzMGN4HFwr9j4VyZ3nVqLZbzya5z5+e4ad3Q0Sf/5OKfwZvhbPJWoyZd
1WvfrOprx3OsX5kWsUUjNdwry8Wn1siMW3o1TM6Dfhy6HjOa4REuSkt1C68uHKcsbKP6aFVedAdT
froYkwmMuo4xQ1FwmOzcOs9WfjDYG9qJ0Cyxbe6HAUBL5+cyCTXg4BX4RcjrX/R71zcSvMJNNvft
pjJpGrVM52djdPvKd+55THLmHXqLtW8cvWmx+dpq/k/Vk+ScK1oYioFVUqkqcnalpUJ0KVQaaOfD
Wrhu/dBbNiX3STZ/loPDNhR722Lr3YpueqiyXhwDL0dn6xI6vWfe4JTxcpJ9BJ9O5USmjSdXMWKy
Ez7kkyoPkN6t/chNONT9XmymKo84wPSoPfOCBKzfpE4V6VTV+oneIu/YcOFjDnL1EO7km26Ucq1x
6uwN9W0pcRWp732lJhIz1Hb93UMTD408f+zIC/1QSmMlk3EASy0Jfb+nSQ+Ud3ekcMKWq2GeuR9Y
Q7GPs9liN+xTljcj3gbRgyzbz4S920avfHWLV3EkIw26oVtTZgv9sZqbfjMPZnWqDfcW4EB+z2XV
bKA/GsDI2DaNZl/BUei1bA+gV4TgMygsNkzx1TpmvplLk35huuUsIX70EJlC6bPLyYzhVY9myEw1
T/uAVT05q/4nyec3mXCkUzJ6Gg1BdNWieJYTR76mI047N7bzFCkIwi4fQ4SLKn6lMYIe1dYKOw6W
J06Y1J4Guf9pe85w9ZAwnnJQNcwQoKsw7LnqOHYRB/PBpDYao3j2BCUNTaq1y68WqNAXcnRxDBqa
Sau4ZSM5aCh+rj1u85Z/G9ORreZOv/WirL4HNIyLP5FMVtayDRONfysGMb5XuireR3oCbt2OKDYr
BLWim3UOOdmQjy27FHNGUjkSymHpBzQdZvFpwIlkHKHIGawY29m9NQOwdn4sS52PRPzcuZN2cQ06
gnO2X5I3kfUWS0MwfXnGGsFpbK6YCjhcLR3OXPbMqcqZ+vq2htR/tLHRbiLpLPUfMnoOiEJdkW/T
bDO3cBPxoVTabRf7zoFJId8Zei0BT1LcAvGotjdJM31XpWlejDLunsYmHfeUC8kXV1IoW3AvDFFd
kI68sYUNLVKqCuZDXjKFYdLQjnrNDUwYptzXxEDWgu5zrFQqwlZm+PxYBS5ju/jwwDau2iYaL2zz
9HMTVc22sOpmJ03SE/2YR2tmhjMk2i35sF1sxshM/vyWNU0twqwa8IeOlGLPRm6sUnBz29LWu3Xd
5PZurufzlLJbanCMrehUXhow2uFuXtrY86FueXIN/gXcTPEgs3bEDphrb1YX3Bp0q36Nv+gcwPi2
gXDh5haRWGkW6zfwdylY8ZmPOJnVxSJ05QlaXypvwpET9GrV6hRtWmLaTeNEFaI1PyjX8m6n1DRW
+LeyHQGknYuCQw1xs6mHOv6ilnRndTzyBgm6dEizHqznNB05X7I1y9roMMrolMbyakeOE9KDlh3U
7E43UUY4DOeQluTGBtfENci5uxo3Xs9GeYnRJ4UB/QV0a3xvuezz+Ai3Y4xjbrRhEQaaFvNIiKWO
mBTosUKHGws1HSbm3/nkMKrQjhWXubOBKbhsJ4SJit7n9HmzJ+979sluSrigjYdE/UxyH6PPyrWi
2tzzNHxBqrrX9GDYllWwKKr9+BBRXbUx1NzexhntobSJ22d0u1c5W/SzCveaBjW1t3MHiQxTIKWx
TnaRnnA+6EVX68ys5g+jNbrzWHraNjWGryZWeN0cczj77D5CoHb20Z44/aCMtXfoqOZp9Fx5jRlV
2CPiaFCa9w5JIlrJss9+jFDhMRs1tsXzPjqWNAVTb6pDLpdttR6GFDop8h2PSlEQl7bTnc4CJ9Do
LHVy+2a2GLRR3T49EwSaLcvm1jXydVHbPxMKabG8pMFRxbNbbTJjGfpjFMoPHS3+08sdEKBj1TLH
0xZsuSw7mix40Mms6yvJLKNhRe3ywzxHPrDJ2VYnG3PrPf0R80tBmdK5TcqfHEBj+oFM2aMRdosE
WkV1mFbJT9jvPPU1WX56AyWEdBh1HYUyEEQbQ2/eGF/cjYmx50pD3bxmBrpaaeZcrAzE/soATHbU
7YDFsJr5pPXV+Oz2Y38jhVWd5gJFZU2bcXHJK+lRH+VbyQd+a9iuUZZOW3o9eBToQYOhi6Mhrbpj
Efiffqxz4xhix7hi5fFfusYTb7NVVh9zgscR94tla9zyvaV3Rx+rx2pxyzqLbzZaHLQtN0b6g+ZD
urhrxeKzrRfHbRrjvTUWF677y5DrVKximywbqRXnm19kzFDCtgXzbrX4eNHEF08vgLtfFl+m58Xx
O/3u/7UWLzAi7PCdLP5gb3EKN/jy9hPm4XxxEbeLnxjTyilv+pJzFl5jt9SHuzjBf2wtTmSapZhu
F3eys/iUm8WxnC3eZX6wJw5+UegFSb3VMhzOxS+z8y+l8L+i6r/b+lhoof9KVN2DxEzTP8upxu//
5I+lj+HYv/lLz4+H/wAXhUs45Y+lj+Hqv+G9saF5YKxf0Jf/s/Qxzd8Ai3gUWC4YGpdY3P8sgQz/
t0BfwPGUcXgGf/Ifyal/a+RDLCWwQhOfa7oknljC/m0JhKRbzJkTmw9tC0lqJWg7VKvBYDm1ngsM
GsLGspukRfNTeLn5mCS5dmW4ULvK1pSgtt531qhJC1Q8KqCIobJ2gSYYHgbx1uo6X4fLkVCLNtQp
hU2TyCGHO5hhEvzDPbUgm18eXtQX+LSLZfuXK7gGN0m7BPysIIZOm4CE/qpmbW5oOhrti8bD+DLR
j1Yw7nTjjyAW6odnJSplpuJlWyfxwLG3yZt5ywlYHh2liY8eaPuPLh4V0F4cJPiB1JtiRboOAGl7
HIrn7mtoYoPzS2EfYnAz93HiYq7UUva0eIKelq1PHv7pern7Pd35Z+KQtcST/hn6/PUWLPE23lVd
J/n59+rJcrZtcG543eeGliTHQmUU5tRgkK/R2laWKTuPKqAyuKs9YZ6q0eRXE65fA2jLdU6PSaY2
nudgaJz74TxHTnJrEtj5NNJce6mk014TxWLCSbPszIGamKy/nOQ5Uvu7OGkIl7dWffH95qkrLJLt
YjwR9TEfzcTceUnwyf5afvzrXzr4ayqNX9rWveUCBqGjQwn8e7RWoG3HkU6pm12X0ZuxvPtxXRuv
hmlPd5qnN4ceyvmhzMYOAZHpETJzN29bnibnqZ/0D5Eby/LFGadLDCnyCJUf2UfxXxKcxpcpauMm
1szxkvSucbJiSSOYHz2zjDGhILEqyatxWLt5oe/TaiRnqTXaLseRGip8FJtZL7mmrU4fbvTZ+qzc
/jQ2prHv+sjZA91fTDpofemk8s3kjOZGZ8uA7+mtoDfpaNv1+DNNatqoO2v8KbhfHzxVNPumA3Qc
JQykYui3HcrYlQ9lfusNGh+mFjxDbn3CxaMtwY0atw3zjEewzyN5nXLq6MM0JdSBGslKbG7YU6Rs
Z7wKC+pU8S6tKNbOziVFCieFFPKiSPt9+bRmYokmB4YE7YC/xR5mbKukbffY1FIAdp1+/lWZ5lfG
cHaYVJD3rJ5aKZnMGUXgCRHZ2Y7Nq5Z206XtDF5Qc1l6zf68H53ls6nl832J7fnFTlr5EWC9O9l2
EyDSTdPtv752/nbPAmPl4xcAeGYZYB9N2n7+urgGck2QYfC0K5LUfI/judppRssWbRr9sPH6YE1s
nWunqeefxE8IhnUttHFoAMlnRjP97SKyHGWnyxdP2iIskkLfSTCzE3moUPZu+VRKvko+NA4JJ1oE
dgXv/amO8ITqHekMmOrThtOpeZ10zgcrT/Grql5TZ0LS6ZrbldoONhMvN9Q654wuOmPjdBo8fjbq
fM2JFpomr+f7X5etwCACotZV50Y6xskQkFDrwtdffa1sXwJyqS+wD+UtS0SAvyVxmQRsa5V+VDqM
/brRKBCC859gTOgJk6kZgmzuJ/7F1yWrsn/98v+Kfv/zfrW8/Avzisi/C7YZJWL5aP9JNxil0TLo
N9j0G9R4Ts+esVKN1B4yqhbOjZGZnLJlqz1mKh0SGFwiEOepqZJp59PrwNGczyBLoUJGRz8fxI98
cAkCBoxEYF6NJnpjbcUvs+x8DzLtte1//gvYy+PVcMlUQU752/VTzXnbGOStr4ULsXjKjOlWijje
SjfCxYmoN28jOXK/MF1uMVUCzd71q//L3pksx41s2fZfalx45mgdGNQEiD6Cwb4RJzCSotD3vX/9
W6G8t56km0+yW+MapFmmkiIi0DiOn7P32vWbCIV91CcnxLDQmizMS/VmzlI/ORPC4NhAQL9pcjd8
yGWDNC8uI3akv//s39/Hv5x8S4LXBrhFGDSArl9OPlETrbIm+65ialv6U9eF37ibQxILcBw96QQ7
XqVzN1/nciy3PWphRhtlSepEnYwHPJRICuhJ7nN7QoQLEvqhdwpE1pMFsbdthvJauV1yYvsx30zk
N6HW7KbuG6xieipeYr134TTskRS52P4uxo8BjU4Ja0ISR0HkkT9fGp4kHYXPBq6wneYizSdT0FiH
MNs2eWdGmzqP5y/Ytgi7m8aQ2jtu16qUJaGRhjF/6oCNW98oLEDEXW3oa3D43sassndsAbsuJtTD
N7O63ucWHa9S8qhTE8w33x+90NOir20IhJMkVv5woH92AOZq3LF9olVepOYY0DaKv4q6U5sUCuYX
7rzx08qLywpyOTWpDA+QDNWVJS7SUKtg5asvzJLFKLIHAbc1YmvmJC+ySD/MCtlyE8XzPpuMDgQr
jUHNYpuI/rZb2TRkz0DHeZf8/kagSPypbOAxBL1BzQAvgTgJysHL///hMWStLoYuG5s7duW9JL6D
B8z/vjYTkUFLBM9yIElmSEhfiaMNpVj95uAsZAzEmrSOim4fa40E+Jzm+BZo0WGjE0kWjAjIC1xE
5aYnGpTHVZfifZlE/sjy378bbPY/h0Ra2spz7ELisXOx75SUY1dj2dvrQoqF+8Aq4ZLnZh7mm1wP
UfZ6CkmXy85ptaha7nGOPdJv1zFPY9LLA81ItnidtFs6IQvOvUEMX/HKsURmJXbsCu/DrCuQODy1
O3Q/l5Lzcl2ZiffPHeJdgOUMVWYjUWvPXJ71mtgJvDqmz+eJC5+WQ7kFhs7NmhqdFRDMJD9gXxSr
dhyzAyEgYkcCJnoRWh/NVtE2qq6MObTQWQ9Z/MR7IHnqtBTeCHN49CpVUqTPHSMGphxZ40S7mLoF
cazJaoD8uo6/asBu77RxuhQ4aO8PwoW5rnWFs2oxhka+GQ/9mvlLIfi6wL38vLoI1bup5d/Dfrho
fYHEhgHuKsta5UovH6Ko7/YhnkLLV3pqvsdmiKYt0p06OxJScyl/vOU2IrdeWyt6Me+k+LCu9k2B
0ZaVXQRaCXE4sqfssHAj0P6fGIRpFvE/gQ2R6BJeCblpEYO6xY0cMk+R6XzXUlvuyGH2Ih8xlfoG
jdbdY2DS1vlQZORF09iNfEwN09oaR/J4OyeJcd6zs4UQzl2YNFSZ/gytpPcgL/l2HSJ3MVX+DcHc
HVtn8oNtylZkhHhqaB1mxVnKIr4xCgkc2IDY43feom6/P0j/u7P9086Wlwgvj/+/XHj/9S2uftrY
/vU3/rmx1WHPgoQFCkvig8M29v9tbHXJ9pW0IjiSbGzYUrJd7OP/+o+/VMJscwyHVQsl8Q8qYR0i
OJwItrWX9Yzd8L8lbrB+3l/YsOsA4vKx2OCydBIQ/PPqmOlhM9gydM4I2rV9FJZzcywxR2G7JQkZ
1xovqiIzGaMKj2AuldS29w5e9DMGlnRvycy0A70yHxxHn59RoCVHMCrI2AhUxWlDmhRiI091XrXS
mGYQYpQbEYEA0TQ1j6JsQs0nbDo3i2PmJd2W2VSaniW8XIaBlAgbvIvlvggXFr90aIJiuaR6Fbm1
gvdmb0A8sC9OveE2I0eg9VMxhaecQcipQ2W1XZyxQTzcTl+JfX61ip6ZBQrJL/lUya2ok/q1LTIR
0LV3cCt2b2ab8mjiEWd8JkkqPKolnneirqwNF0o7l2w/8T/KcRPDbEfj2BILMbaIkQa9GDc2WQGU
a8mUXmtxbDyPJLtajH1XYAjroEticbfAnLvrB6S0oGyeczvxHmd7Bl9dkqtQG97zPLvOehRLEJpj
cct+t9lZQ2uc26Jgp8eYnSi1JDkVYzXtbXSPV56Wv3l9w/AQVMoa2Wd2JFDK2+aVNr53mQz3S2ib
G+LQciKF0YWp1NU/L4Vrw9LTVjvPSD6HwWjX2JnmF1t3p5IUg5RATALWg6bI3VfDGGB2yTTm3FTP
RVI8NxqHLpsaMEo8jSCfNHtNoV2tAedJxKeyIJF8KhmY5Uz7dN9MvOJeqhkSFQauen+5Ix+bsXM2
GOGw8aCtIODTGBpewlJC+q1GuSo1OstbwVZzgS8yT4RdocO7szI9u1mWTl2HU0ykm7KaU2wahKUn
YrY5ChpMLLTW1kpzyuVCM5P7yenykw2F4xQzFriC5ggEkHSgm6lt2k3ZdfNH71p56bOb6oMh0+pv
HpSMgTXf0reFTKcTw4dkN9tld+rJpmCBdqboa4zvNMhrDIkwbsvIX4ZaHnV2uJWf9FIQnL0I32k9
lfttaYgyaMjTQwOHB5iMB1B7WHQMrO1ZQxdUyGRlRPG4IRcaO7xWaOhpSVA7jkXBoLqvLdy7zCra
jTeRGdzwoWTj1IdOLd1jRMeXFLLMiL9VqFLWrpt7O4lU5oTE+6ujbEhycZymPsn1uBhbbTJIc2G7
bGJq38hUeM9ILTJ/bOWxDpHzFC5+rRz+4Pvo6PkGS4DzkTWhokgsRl5YY+xsL5EWPgPi6cWrLJNu
UShBbLnhZugxjAdlNi3HatKsPnBRUB1cJ5vqFRna8XqB73IjbcLYFHLAwHFA3vWzCbYC39Zdjs91
6+bT8IRNvgLEUQLeSUNehtKLkqNWm6A9Cs8tAtfjKznETWFbyz2k/mjKfdWOy1pXI2LWPlzWyeSq
x3FukNGzJ9vEpDWsYm/hkvRWeBW7ZXvjkLukh277QCfIufPMYdeWprqe6IUHBDcd7IHHGs2UMe+T
sGBsNTnVDZweDXaHjkbcrd3lPuvy+qroRhpCBjHcOFwb+nyMpYepnUizS+JwXwpPkr7SEKXCMMyc
a3HFRIXhcDXdRlbTnpa0TgMWT3HuBi43ApY4KIsEKr8gIS8yJ7FXjf4VFZlzrq2m3MMNMvZFNzh+
ondEsZW1QecwjLYt6u1VmNQPmqzxHCyG2d8zPlw+C1HXgdLksltSRkVyaQpagDr6CCrKONATO9vK
Ya5XSchCLgzVH5N4mB/LXFibpi4jSsLRuRLYrZAssRB5IB5XIV7nL2Yl4t0C3ibQ5hyWpdUvGkoA
2/nCS1DtiHTQPvW00YiCjM0AIPDwLQ21ilT5pLrrGpqiNXxDahzxFqkiWjd6nhPDMhIiN3YooWuK
9S9sK/pTW+R3HXqfQ+w5ZWC2bX3E/dzfqJL51jS76kboiXfdxW122WaFam1FTrstLGakzF7cVZdh
QRhkbH1GF83CJOcPkhrYrLFm5n6YTYRF4CQ9xRoT/qq2p+cajk5g6bW6A4zsIbypnC+w13g2CGSE
koKOnE7ifEVSo8aChUAbPIf1muUjPlfZJGc9LMutEpX+NhWRhYJIPTIYCwNjWoydPTrECAottO+T
RJ+BGih3z8byTgl9T/XAvqAl12OdiYULXBq2t5LJeDvVWfRMqhEItqFAlk0m3U1K1HHpa2SgPaH9
bg6e2chD5MY4MrgdvR3rJt7iXpw6qZl3Sg03RIdh685BjACCyAKbe4+uhFFcWCY+jwTbFjI3To6K
4r3nancZuiimwG2Fx8MMowC6kEtysTNsIrfP19BDikC44Qk/YLatQB5QiacuYgfc6FONM54HCiV0
wX4I0XTqG3MOJ8cNC+rtluV7Cqe3OBH1VhuFc1SIdj90mefvCOHJv+va285Ehw0N6VEsFnRiL2wY
6Zly3/aa2rqDHNYNAZuPZNEPB9sp3lKV9vs4BR3XZKQIjYxYd4O66MtJWO8OCRNKJIuRdddFZXWj
LuwReC32CHnzFue98QX59HTCB0yjBtHS+KwnibbL1WifijpJD0ZibyoTXxOuL+bq1tOsTZYvwAut
k9IMfRmN+YPnRvV26N3mGmezHsxdDWemCT9d5G8YIeJ4i3KDaSIz9V0H//kUW9Z0rO0sehm9Du9l
N1arWmFztxxbfYNI9UBMRxkYWSrvs5CP0OsZKkRgHL6Tmlcjq+q6jvXXsGMgVlQWnJK6OuXg6LD4
z6cl1K3HvMmQ/oHzWFtaO24BUhNWOWfhazss89aak/aV+RvDWW/wmJsb415OiOcRdb9OOusKRiR9
EzGEzS7zUNJl37TBRo+3wNqWbqoOxLj4Movy49wfZQXZGI5aMZ6tHEAikFDs20Lmj6nmlPcUVdmx
bFxe9bbOhiiZMgLyqqrXt9Cj6zN4g03hmPXWpZ14BXoEUtdsa9s4tYqNiI3oJNmJrVviM3cR81A0
KBB2bpBqzPvYyhEUuUO7WtLURlc6vZImkgZAYex6y+BaXdfoG4PMbvVDpdpyY7vT/IZTxc39rgFP
EmadY/tZTiyY76DsW9mVmj/KLK5fHdCsgjL3rYi8cMUH+VYMRbNJmcCTaVJq7X7phBsUaabtaAkS
iCabrEixcmTlVT0bKA0zy1lPY0EzAkjBV5ANBtZiNfFKc3CV2h5StyxLr6l7gz4R+WYyHLURYc0b
dAr1g2IdQMFDtRkzStiFpia+4U20/X7JR3/oEexVpO6swae1PqVHuwZNemsDNTLRTiyIGsLuImo1
MLVyqV9BlkY7dvXhWpYDfg8EdvRnu6ELUON1q2bKUVc1pNq+NLFovY0+IKhPlLiVNS8kH41dCtOo
1z/mWuYEppFiLEYjR9eYGZuwVLgw7t05HFIce6MbVx/JUGBs8Ako9YoHOcdZZh1C202yYz+7XvUw
LSNnDQ/4rGl02EoqZT9tQTuRR5vrcgxKnLorWEqZJME+Ij29D1O8jWiZP2sYPV8nj09IjWC/8Heq
Vw1k0GYxxnqPRGYmO2sEYgy5JDkMo9tcNTU/jZGs+mLy5JnZ0m44ImA7j9H8gPhhm0ib/Pmonkv6
aIK42GR29w4AB55ghOpnOTgPCpqP36Dn/GrldRf6Sqr6CFx9WqNxa+/agqC31MHiqBE8fysmstjA
pizIi+Jp2Fl5715Wg2VF1WesKosSxpi6S88pyXZOixkMBIBxFGUHhEAwCUtAUayROs4r21kKOjoa
xxNZXUGWH63nDrc5va8E2ycKMs3wG5ETZMmZu6NRw5gs7xeyd8PrKIV+74vcm++Rh0arMSVbMugH
Ja6WOjKCtO+6VWvmOJ06sgwHbOc1XXTewsi7Ue3BJ6B55nd1WRzmIk0fIjfvv/SUnuyZuvG8lCq6
J+i127iXk014XrrVvJ7dl20UANzDcWrx3s80J4da7Je0a+7DsBD9KsFDuB2QjO5pTpd3feTBK2v0
5okIJqZigF9eyip6CmmunSyDnhfiRKHtTOMytS09tA7DKI6kJtX3QJA6bEVhXcorPP/WbRk3b1K1
yBZrRbaRr8VCBSQB8dpPVGSBX8F6f53lS/6cCgSabjqFpNt6esRMQze2bIX6R6QJJLuCEAtqnI+4
3qOaEG+ahGmLLGJFf1+hU+tt1GoNriNcRI2xIgpgeldUfVT8GhlabTUvN410iREsvTy5ayOwK6JR
tIyB5RjrjoiitSEhMaIRT/axUukJDG2yL0xPnsFCsIGdHW4mob3nbqUeYwLxbN8hKJxB6cKiIexs
ec5YKkhcHicRqFSqa22p0M/Bxd72xpjflZc6yVTcV7TSe19vBIRqI0NkRuXLHMardmUa6lBUwMWy
/7wUsrrdnmyT4jopxQWOoFDiLxiFQTUAtmxeqn5yi2s9SzsThpnDZqzReQvgcKU9Ggyxg5ALYoij
vmqoEKcb3UP36MSITJNy1Jbnvpzr+UFNGpJmX+vZ8PY3g+gYX6yHQRqy9j2znacjp6R1IapFDal9
ZqdXKBD/s7DGLrYQyp5VNG9DTTYPeV7MTz+0f/5mUK3TnflhUM32QdB1tsH1U5XR3bkII37sONfN
PKW5qU9nIkHsleYRsqzj/kKfvddcROLRq1GY2zE1DmZmbzSr3dixvnZleFUPzMyqfs1X3XoqheeV
bH//4S46hR/nIt8/G/McsuEkeP9fIygKfWxKERrTua7bs6ypFcNdMv5p8vg3B8ErA60XpZKQv54A
0gpnNr3jRJ4vgRv842j5ppTVXwOq/21J/qkleVEF/HDZV2/92z84Bee34vO//uPqLSk/f2pJ/vU3
/tGSdBxIAw4PEfptxzVtD7/WP/NnaVa6aGkA6TL3+6knKf+PxRCTgeY/+QT/LbWxTKIMEU4g39Eh
GxiIGP6NlMJf7lCLQalnovG4CD4YX/+Ko18Y55hsGxUq1vXire3lihrwh7PxN0/ovx4CtwEjWZI0
+Mj29wiZH0ZCTOZytDae2qF78zOFHZv9kutwSv+7Dfw/OMrlU/xwFFLfSZ2JOYosXzvttZo/+z+h
7P/0RX5ZaWRSWWU1cghmEFLcIutp1B8UKHS4Lr/lhzXD+p6eYUlp4LuzmKhyu/z4Rbpcq9NoxDpg
a2X7UUlHTMzn0XLIiUPbYZbfmQJ0oMiH8GB2YtjgfZjXJMxjcp7HaZvUbftkxGjjeZF26Qqz861h
s79a4dphW4Vue4MVX6zMfh43OrKF+0QYzHYkUtGHhXgJX6YShIwDOtGt6tfCRYnsut0a3u+4G8BQ
odeIgeJ4urPKNAgzNOUWP2uGynewyRwxgaf7WOTyKFzlfNEKCcMltpf4SkD1OuZRvgRKaN061uzx
2EcX6EI292A7mTedoMKoR2Z6+YppFdUP3ESHacshTNCqu1pDkKtUJBEa3cnKjP5xLhfrFuuvvtUG
mePYb9M9JlnMIoNubeg8NLwMav3KFTjo2XphNTbm8c6UPb8EJ99JKqRK5CwZaMyWTr8iGIznIaWn
FlVDfBum4/Th9cVyOyqTktwJZ3Jux5TjJepzKp3wJa5hVK3oH6hHZwIvuZqU/tm2MyBPu7P6b1pj
zTFM27x/ogNMq29GRn87joJfdDnBtkVFu9ggagqMToGz2M6qqMP+lDuhCe/2stkLSRevAz5fFng2
o9UhT7UzFvDPvtMstgD98DVV86OljE8PsMOX2QDWYw1a8tKjZd7jQeCUtHGjb8vJ+lR91Xp+jIBz
lzYC70FecxHsUPVPg+D3FRAtg3SW2aHw7O4pgZEE/qiRR+DE8VVdTOHaZO+2RWod36I/TvdRaQIq
hHzKZskV28owVObbOHACj5p/7ZKym6LecyNkb5axA1vEAQzlBE2TkqFXuNkutdPxHv3JcN8TMR8o
qlduDDexb/MImBsFYXZAOggbXIOUMnogHV2P00ljF7Nd0YJyNlg7zz1YzHSfGk7BVJ+Sz8fJDQJu
aEP9jiyx6HaJEnGfloi8kdcm9jWajnQbwwff6lYbvofSNolkMrTwbExeFQYZffLBt/QSe2IYWtdo
A/B6RosT0NW1DkA+m1OjMVbVCzXuHfT0N6FmAsGuY/NGYjA4TZZNmdwgDGKuPAWzPYrdEDcOnL22
z32Aj/kcwGAJ3/sZR6lXTxVQKG3QttUSu9+sNHO/aVHYB53WTceW4KL32BP6OhoaS/cveYtrres9
QLje5XyEInNW4Ka+5jjb06Ab5xyWfy126MqXHQ4N45RHkfUgZmgoIWTAkYPZ+taVZbu12a6/uEY4
vmKZj29F0YjdSLIhjIVhpjqnE2b6BfrRDx1q2AGFeXFGg0hKO1OJq3Igz4uZuPmQez097o7yeT1D
MTxOBoZAc8zUJsJYcpMmbfm2UIvftgu4hjmN+/NMW/Kkz3K56hrPPmbIsLc6QdpBvfTOfb2Y7goN
M0lYk4bUwxYIMgEkXhavnKyz2xYrJp54OFC4XRyHxC9ceZsxnMQ3gNZ94cd5Fd83BNJ+tZXTEYbC
IkTvv9tya9irGV/ypga4sO0rnDGrrk66FW8Vaz0Iqznmk6NAlVVNDAKzwJZCm4nfacPtQPZMnq4h
S3Xg00YgFip1WHDqHKEALkFuh6SApU7JlsMuUm/vUjFsqjR1VgjbkVcystug+q7WNejRbQuJCkSC
w5YvcNEWbqgS+rVY2navtQLUbty4yyZERrGWIXxMqPm5B98BsKs/0yZBWwPurczb5n1q+p5lbMxu
Ueu79G6YdvWsAq9sKGDAj1LueiMdPwngJSEds8zRKHWYGJA7SASH/PqG+1p/72WJ5iInqPFb5w1I
Urp5uvZ0kR2+/7hROvY9pkk6L3OEKlLZcrqeVDpfd+7Sr0c3Q/DFPaw4u727svSIvsj3Qya0UrBT
dAC3hsUgs9PMe/GeZX33zGCzW402FGbfak1t/V2KVtZRGhgd2hernMMvqRVXT2NSFNvvgjvMbOE6
UfCKSPQpgqkRaP3mITs41fDmema/dyX4IuhtdC/cMBO7dMoyFs92PAM05fR911W1updcOdk8Xuka
e15/0at5V2neYjB70M19a5g4S4Q7Fge23ugq6LThGIfpqnZoG/nAYkYOQnfEudfnTrz03ahuE9A1
6OgvYie7dhF8TBchl6oHDvudljsjcvL1dhhpkyGBqhNnmsBAculdwJWn6qIpGnIz/urpsHWzPHXu
C7rmx1CvvG0E42mFWZCWKXNed0s12u7NWsueJi/xtiVCzPuLkGVtXwSQbt+X24gpcIAIVO06D5SS
lkrUVQ77SuDPXlB5nenHoTPfmO1ivWHhy9dlzQ3uhMhZiW1KAimsfo0fqfzEQDPsjU50D/A81BM3
UnTjxICC+3TwcBwWiFqtjuiBti4JVTedl56CtAf4aDBDnnAKB8SKeFsjBACJXgQ9kCbGz7EMtcdC
1uSu9H2qr1zN+cd1yvqZXHbBh50tc9oIaBpn+PPaQxRmLDK0kA4MkIa1Zs/Jl3LoXIBC47wBjGM/
m8NiPY/tBe9p18uZN5WziZtYWy20mVdabcU7GYbVlQIHc1fR9F0bLdHUWmbO5+9nvcc5u6o61702
MrERJelcXtulR7rpOuxlJCvloJhlcSNuZruiA9LE5br06IoXS2+u66agId0Ki4dYesthMJb8OnT1
aK9DDiZr9SIeVThAbj3NcqkrXDw4bjKfZVeG6yKXZDla/dggnC2za9GkxR4en/PiheG47ZHh2EBn
eBkKZXH5VaOuMmAdV5hzvSCaPJPu4JLFLIG6fhdryTucLYSfMfxhg2nktWyVovVjg6Fdunp5gg1r
w+9QE866Yek2Us+8U+4xtx8ymV6bWQwJ0DSygzUU9jGd0N/pcgL01dYzvqaOV7eMy34rm0ojulAV
MlsZTPQT39Vjb827adx7baRIN7C6+gquTKkHKO+qB4ISy83AgkMNVMruqFtGj80Fo2U7gO8k8YJk
GoyVhyZ0po1poHD16bBrD39p/BkqUDFbJoPxkWVDRBcJH10MzMhdYqcrd6QjiAcJSaJekl0wcDsV
4CsPppfo7yKyUM4CNFhZ04TWzHPRh84J8mnN6mBbdzyYhNIYzGgnddtCUT04k7Ws3X5pGUDS7KT5
M9aNX3jOCMZirFjpcHaqW+HMPPOameP2CvmPB9DkEb7RMB5PQ6+lQciP3qQmoaekZDXhDnOytU2E
qfapGzIJplFx+Ubwy2cjoD0Xn5FYovMbkuLemDMsd25aYjWLtW1vV2g1THsxXmGau0x/yubeHC9N
I8L6jlE43gz1IqHJ0AyfUu3TbQhah0b5gtZa93MI/ye+RrbKRcXKaUddu0GUP62rHHBbGCYjvtKw
P9LxaqFlNpCrqBDjQ62YkvWwtI06qQKa+cWHLLWPTtnXs4FZ25jJLqNua/ZuLHEaq+RhqmIVtK4W
7VitGN2gtNQvIM4oBL+FB/YFrhSRaKlZMfDH8rlypyi6oGmJgnJ7bV/aNcg1WfN9y9qGlD4Y9Ljd
uryaa7o9JfClbISk4CQ5g7YKlitB7Wn8GhG0scvItIedMdAFZZ5Z3dcYYJDQRaLp/MKIj3Hq1Dcl
luAXgHSlz1u9+NJp9fABYN65l3Df51Xu1tl+GBfFhMrL0ATGww7bok3mSNRYN5bbqpuUweh9TUt5
PRaDRIgwt8XKUY6zJiggxP7KYAp0SboZm4wtuciTQ5TqC3q3HgV7q4ojTTpzp0hO9uBMVwypiW8H
e5+BwX2nvNe/4Htxr3Rv6EXQGkz0xyZtsb/Du7gJ1VLt+wV2BX5KSB0EWqyMghk13kgtvlg/uYrw
Jux3YJ8NzKhYLdeW3qe3pY0zbSA65osDI57Mdz02zmCe+i9ZHssDjdHyOQSkiuOwHMwncXlDOnpR
o1lx491clsMxTlzrKi66/rnscXSAI5pguUfjkRFZ9tHD1AaIoHNxq6EPb0bgcV+LTooASYT1hkCk
MnhEwCLpxMyfkHbRYtXYYPvLWFrsdTuobkR6WI9mKYt1FtqgeZNxjM+Vtnxmo3RfjEpe4HPKDaIo
VxcJEZ5d8BI+NZ7iVYiCffAHbYYLsrSsZGme7lJyd/C1oKFc5bxtDwu7CsgxpvIn3V1FXa1WXVI8
aHnyMpPkyOSOOQiNG5i0HlyxTK+fie82V5mT0x4XlmyGlU1lvK08h9i0rKhOvcqNfduGlFIIYJcw
MgMrq92BRno3acWO7ZKjfWJDvJgfW3uvD477hOWx9Nl3ult2MRfYdgLR2dT6Ey/F/IZSMX2bdbN6
TJuseamHepbbWrMXTMSwYrMthl5a1FlGSQPyory16KCWcO+S+TVrHfqnQzulh9EYPqPJncBvu/pp
JofyaFLZfpS1cALsgR25gtlZVWPO+MHU8m2fgcObuFQnJPQTrOqm7s9wiaNzSjHkp1aedqhl7Oaq
jZww6NrUuOP5/9oD1fMH3mmeT1+ZrnnYM8usuuEmEzQZLFBeT3Pbmby4pL7WiU64ZZ5bvYPJerVw
+r5CIr5XAwrajXTQVmjlpAO4VKzstXahrw35PQzPqQ/iuGnvbAHXOQidDl3SIDZqhM9hc8cjDK+s
bRw78mRkDpMh5gtyHxcee9PUiN7thXEByowKD78WYWWf5QNbHd4nkVe8XsYgK9KMn62ZSbLAHL7l
t4AImJv+3kqsrxLADTCSfnmPVIjyKJtcbJbmkl55npq2qIE4Y9Cytk2UMiTTPE6KGcpnOcbWQzKi
RUqHhAe29WJ/KqmpltjxNrZmb3szNm7YgzyxIGfXc62cQ9M4nd9PvbOu8zJ8q7xMBXk7uTutMdMz
uWUKJgTSFd9g/rGbO7z70TiVd6XqIipc7bYoin7fu0txC9bZuZEMJFZO6hhnxCvmNz1iFl6lABba
IWFSgQ7jGlJ6fCLAFKlinXpIVxYwlcOXFOkKcN1uS7Rquoa7j36jn8VtGA7OLp9IPq36rNoCSM/v
e1Zcf0BXswZgJ7ZtPjxEhAoDDxLOwYxIy+in9hVLntylzPAD4rPmAwuptmMYM54o5eRhQht/7qIm
o/6tym9Dj/N1lff1u9mk2P9cJIFsAZo4e68EWZ9IyIbw6E5huqJbQrpR1BkPg6HNS8A0wfbO+AyZ
wlVlw0TQxJZvb5pyVmzN4tY7l0ubP5SFV/qFvXjkYHXRqqaF9eAY3ec8o1EUilKlbUzAUGr6AONQ
HOzcKFAb2WySGgLNMfen+yLx9DXbiR0cqfTA82+j5Heeioja2AqraEdVmJME4X50+KtWlVgu8kTe
r1CwdsPsvEm2IHOKpb0Vt9RQF1oRbSJtcPUPy8uno1WRt+k0yJ1FVrbXUajvRk8Lv8Ugd29soRm3
3ex9a2ZLe4p49B7xerTxCswbOkGvBY3ZuTpoJSQ/W+HNw9pIUFYy5R59t6QD8Pt27r92QY3vswwP
tC5hwvKXXqszw1cdNRc+s0X/jigwwNN1xT1JNl1Musvvj/YvnV3mhkJ6uol9iJbUr2l0ElkodZJs
d0sVQR0k39pPCgkKK6rzPxgr/+5QOumVnmvjU2Lp+7m9KzoHBcKs88ViN3oggIFXRjrqV6Ifsz+4
MX5RG9NJZhpqEJVpIfXiiL+cQ8bPUDtMDlW25XDK8v4yxk4pObl5/Saai23FwD74908lHBAk+diH
DcKzf/5+dgJ0SCO4a7dknEWGsrylW1p27EmtP3y/X1Fxl+/HA80IQ5JYiHD750NlLP6qrrV2Vyz4
Dfw8ZHipNXAjMoOOZk7746ZedDqIuYqv4JjPfzj+pRP/c6ee45uYMTw045jpf+nUL5FVxyKLup1b
YGSl6KKR0UyPvz+fv4w3v19EE1c1AaSXWZE0fv6SpGj3S483atf3tG7lFFNFRNIMz7kBKV0tBkLL
wYMd3FIk//7Qf3f/mIYDbRYDsKdfpmA/TiI82wJBa5jtpUmyrGvT7qFqXBrBUhM5bqeICmyJoe38
/rCXO+TX02oS7upchlOGc/ED/HhYs/OgsiUcVhIZDOV5fHQwWOwih7vWk9y/vz/c3z2Q5HEzPCV5
1f0XcjdAUaFr7sLhut5+aIxmy+Z/XjehFH9YZX6Nn/7rWno22aoM9xwu6M/fzFPqH9fSUcP/Ze9M
muNGsi39V9p6jzQA7oADbfY2MTOCQ3AQSWkDY1IpzPOMX98fmJnPpGA0aXq9rUVllZVSBDE5/N57
znf61/rt2Ry99vvQ8GxqdWJc0VLWt7Yz6S+BNzeTkPP+Dx5a4TrMo6UwJYbmX3+HGNDD1Ps6yDcS
l26tNqebT5bYJ0c5d1G5hfP4Smfw+Tbk+mkaJzEotTJl6XlbBbpoVi2644AEi1SPj+/fubdQgiNx
JCwDRozzr/LToWKgHQQh9SyoeBhWZk/IlZN/+/87xsmiFlqNafOhrnaG2VxNKFulk/7t+Hkd/o//
V35mfnn24eD5wz3Mo2ipdw+HGzl4uSHskWTFg9Dq5h4WJoOyrg+fA40VBmiYTtgZYxbAiPoFVOfP
VrT3rx72FIsRCu+fS+viZEWTVtEKLceM7Rtz8FveEC1hxOUl6S2AwAo3W/3udeV4MPuRRlimod4g
BD/du5KyyhkLUe5SUI4HYFa3KjDUJ1uJ98+igPEP5YLWrikc42QFdX2QKYRGlLuw8Vu8m2iS86JD
vMgs4+PTOXMkTgIpCgGzlpDq5DFBNUoy5ejkO5Y2iDBafSCt96GoosePj3PmNhlKIivhXrFyvdmM
frpsSJdj4VYq302A1qvkRXMSZEHZMsS7/PGRzPffWIyUPx3qZLmgR2V7qc2hWkLcUBhJf5H2qmkW
A2ykddll05fRYj9mMf+oVqWku69XpfcVtIe2biazWUdMf7dmTRstRcOWMjia4r3lRMW+EQMmqD6Y
rjxCGu/Q1wu4lEyLqKuadWI2UbMHuDlc93lLB3ts7WRJmw3KDuSxT0701LjK2swXnLmezgswh3Gf
rM3E72ikm7dc0zpontw0068RKd4hmgpf0qlVeyJ6mJ8m+MCH2N8ouNzMrLEy2ek6tJjMGmURL832
C3kuQGZhnRNIiA3UAX1BYwlmHIjYuKffGAq18CB9m7PHsVtUnan2WqS1y0Hmcsdsu181jWMuOU60
ooWnLmOJliFCdw2hKA9W5C8uJ+UPK8l3FZykb2pzKlSt/6k8mBEfPwFnnjUSHwwUHHyz2PLPm4Sf
njUPKDy7j5HrEmn1ZWcQ98hdH4DvkTm0GDzR7z4+4PsND8YH+DIAYDDCu6cbnjLHqIlqHa+U08gL
+q0AH/yqIXSvaLaegxshoPX6IENoth8f+czry24OM5SJFud9zQFkq9OC1s52tLnG587ujW/wF4wH
Qkmivz4+1JmTRODBakSvg/+cbh2Zi1Jvjm22Iy2DqUhnMMRjEgRpLsqqC2KB8LrWDNjHRW/StP/4
4GfOk30VwSw6mfPsoE8edeThLW2nLNuBswy35Lg++MQYLAHPVL+9DQAtzfukUBgpANEnCyI9oNrH
wpzsTMd5Gkc4Oia4EN4iIX77MWW7gWAKYRTVh26fnFMxu1N8WMzoCsD6TjaNVxHd9L1lA8G1v//u
BZS64MRMTJxMkU8/WyBtiRVMSk7LSgUpiWOWM0NkplNDDf4sSfz9C8jB2NqwNbAYaJ9+vkq0IYHd
ppyZJh8CoT2Vk/MdPPOD39uf7EHmd/nXnTeHoiy1OTXWfOvkS5mKIEQ+jxBDFORL0yt1iXdaqKSD
8pV1e9qUn+1Gzx+R9FdkbPNLd/p5kYVy8vmIpdHtY7d4yUfjQcwuIsSpYJRa8/L3bx0bbyA/7Do4
4skTadXUHQS5xDutbfeI9XdSxjehrX9ymPebUoksldJQOACFzNOGAsjEIQz50btOMzU8YYT5FuQ8
rj8+mferCEcxdDYbDuHr7Bt/XZsHzRwyglPiXSXoaNHpWSZR+0Nl9i2BKwzUgcwI4vE+PugbwuH0
KZkXDmXhiWa1PDmql06NS9kX71wLokKfwDFeZkUMAcllSk/eSr2ox5nRoeUyhvYw4bLJal1tm6H0
LxLmyJuebREZ3uUdbHZiiIuCzcG8LUB4bx2QxdlfXLO3IXjX1ie//dkb47hz8WM4LqrZXy8ZkoQg
YbKR7OhOQyscwSJpA33Oj6/R+xWWG4OukpaSa6p3W85UlnxG/DzZZY0iCTnvdnpMtKxqPtu1nHlh
saezt2Udsqlhfz0bOB4iK8qMhWggxigmHfJisPVh8/HZnFuBcNLThnMoyrl2vx5linRz8FstRjxU
4zhQfKYGC0ZEXSd/dpH8/V00NSMyUT4ZOEn10wqVGEq7Q3AVUzt63+drV4X2bVp5Tx+f1bmXB8G9
DQKP/g2kuV/PaqhxaU85L08SWs4xHg1GbJ71nWFLvql8y3ntEzLn6BbWn3yqzq15KGIl+2r3TNFD
61QPBAniO983b5pMe5ki6DPRYxFN9yzXnxzt3ANP2QOST1JZvmuSJZyjssme3RU+7sDUttRtb0ba
6uOLaZx7RriIcIskqEHkS79eTbcly9ui5b5z2l5/xH0P9hHFMZxMSM3M5lT/JTKcnLz5prspAY1f
W4kS28BB0zmNBQwwP8K7X+IMTIBpb4K2jT6rbo2zVx7AxPxmCuiCJ7e8wnRl9WnK12aQjAma8sVo
ZsuYcOqLUDlP7UB3QpEwfplkYFXivgNq4ubfAhQdk100+6LHTUkXCcAx6L6FG3AeH1/IM9eRmTZb
UKUEzcXTD2KCFRiyKNvtPpu+F5PRbPQCMaWXoF8ZXz4+1pnLYbxpjK25Ucuu+9d7ZhojFDynYWvv
Gd91Gg6r1NJfoN5kO9Ck0ZpWefPJDuPMS2cYTOzY0fDFetfW7yrIuxVIvR32secg9LWliWqHOUZF
KgUJQV/Kqi9XqDG63e+fq2HQxaQjxQbxdKWUmovc0KnzHbXadWljeMLRdUs33l8Esf84Opb/yd73
3J1ky0YbwDSofk9ZgrwrfVNL+ECa7pfL0ehQJWSiue1LN92lNoX0x2d45pvDCbKHEnzY2CyevIGp
V8kgxCG+GzowcIkk+gnOWrkSKGL/J4eC8iQcmw2jc/oRLRTxQmlGiWa4eXa0iFpfVKqxD2FrGJ8s
X+eeUcLteTwly8q79neHJC6DOUGtkrYPbZD/ZVnYiGARLUBF35L12fx2ccQChunCtKCZsEOcn+Cf
6l1jYNZm1lO2m2aglq76uwoXa0Ef4JMDnVmYaanrlhB0nrFxzPfzpwMVU48CzKMEBPvwBI9w60zl
wyePhOBnnGzVfjnGyTOBmyuOJCCLHYJ+YyHDEH6FVVt3Zmt7RBj2UDx8HQdYXxWr2o78L3lfKcRC
zGpbB2t6b7TauspIgs7lgAJOGAaxViOB26Kp9iBCg1vTJdIgG2GeeYWebdMacRbV7UiOuk+sjQWL
cYLzfbSMCq1uxPj+bnKBmumZQV5cntYV0JHSIz4G6ehNhCt+g/gUwF0cVjfBoIKtUdUjZDgkmp0I
0qsO4/TOid2HMI/rJVc43qT0imCwIhTcIU5MF3k/FWuvDSzEwnF/iVEXvhzE8c3Hl/fcs8lXXBk8
J4I5xcn6CU2wbIiBznbIhF/KoXnB9H8jBSnRab72NLDMHx/v3BvOnpvNHu17BkInxyNaMisF/IRd
UwZzz+m6N+OLvsk+2by+b/kRlMPUkMYfPQLbPTmMHOIAUx+xYYjIbwsQc2gGndcy/sIQ+gpBCgGE
5je/yj4pmcT549Kl5YpSXJ9uyNwiLdOit+iJ5OP0HAw6LqFKarcYXfRkjWaGGgfaP0Br+HKrJEMk
qLUZC3mJTd5C5W9FvXYhdNCMRiMJL0cYygNXbJl3MsF2oz8to6NQH5ACxmryV1hgbXovalr5BvFB
sayXzmSVi7iJZLxopsJfR/w+qyYp/sLzYRwjJ5m2BTz+DY4u/v90spaQfqO10pT5WArrs1tx7o7b
sKyAKtJmEHPq7c9rRKjXFmHSXbbTm5eRcegC4N02Nprukyfr3Fr003FON0Zd0cFjc8mQd6xEX2b0
G5ZpEKw/fnzPfRBtQnKZKzBvs535l/hpwdNL6LelrLIdQydIbnAiKcaf8jhAU1+Pn5jOzh6MfiU1
izvn/54s43bFYpQlvCtaYKdUotO2k8UGBSha6ib85PKdWwhgh83cYCx77za/yTgSPICKaldF1a1Z
K3sJFOIpT6q/mhDNQmB/ciWNc8/FPPOmgEVCoE7nNFNdJFxf9mnRkAS4vEyDbEywNya9+FUutGAn
i7JZwjgVdyHB2rvRx9Tg52F25fhOvAEgNH4BQMgbVXtEiH9yPc7+eiyItJHo30LD/fVO94NXExDK
Nqcvi7+E6z8GZnefCHQkHz9RZ49DUCpGF0Qb7zYHNRbloECPt6MSLejmNC/ZqPWrvK0++ZCe27bS
nEK0oc//eEt//unRFb2LgwPt5a7BMxLUSFz77LYioxS8102Slw9p4n7SqDj3AP90yNMNazTJBI2e
nu60ftj6bf6XKxPE7fa+yj8zEItzzy8VKUMyto/Uwid1ESZxiQdfpSwz5viNBNgffejayy4Bf0H7
1l9qhRYuU1bkdVjOXgPNmJWZFaI/t6ufJE2VJ48gnF1r4ljA1YbPKGiqewJU8pWTJQmxmrWzGVTv
PDoWq+bCzmoEU1o9rIi1pbWZmz/0HsCTygl/LfRvEUgHpDjFumHLFzpdT9YR4RltOpr3BaJrPvZk
6338NJ27Cu7s1KXFwXN7OoBNYEYQCF+w8yMzeWomokx0+WQV1oGe6VMTjv0nBzx3i2dnFkIZRbP1
9LIX8O/Gks3QLixdMm+KFuj5RPW7EiQeezAj0KR/fIpv2omTDSGKGQCIJq8LZebJnfa1EQqPk6Q7
O53cJdgL+14GBjgPMVqHIE9IUjNBckYS5eSbXeCNyZ62EIkbJH1bre9Rrn/8S5257mw2Zgu0izHw
Xcnr2qOTNqZIdjEcVGJ5RhuoE9vGMcrrp6giyxtd5J8fH9Mw3u+MUSXQ9ZlXbfWu9vUHayq8jje6
njykrALWDYJUsam9qgZ/YwNStiHeJ1aydv0qgJ5VxzgvpLH6+BcRZ9aw2ReOHMOgzJGn7X0daYRN
fBIJHFkkGI3MvoZQJNMt2mpyBrky6qKJUCNjsQIMQ4zG2tBS5qiwg7pjL3p9M46e/hxINt6AdPVn
tsWA43seKRxT8QZRH3i3NvhrRIzNkt2tpR0Fa7TCclVpWbML7FIRm92qleMfzDwW9xAohxteW0xo
pA9MT4HTuvtEV1/1meT08QU4d/5MwPCgq3lCf9o4ot0GQItYPeC58XAfIEvbQUsKn0JDCza/fyiE
12gNZkD4u7KVoVNZpvNnyc1FsCpKZ3bzEf2wd4PEf/r4WG/37fRNm7u/guqVz+Bp+U9WadL2aUhx
0Fmes2gYGGP2mgAcQhHqVplKjIOR696xGeBDmKbm35oNYXZSJMW2IIf57139f/ANn+EbZtXVT/fu
Hb7hIvsevmS0zv4O3L34/l//mzdx/jv/ABwc+QezS2JUmTDShZgFRv8G5DrwGxCv2IyNHUYhJn/0
L1TW+EPR9UHdomhlo/dgtwuHaObNCvWH4g/mv+bOD6NyfgfgAOfjdCljo8VvgTcVsd685f11t4Xo
PQinACkFTr5hJcokebFwKROxHupmAWcbjBhGrpHEgRbs8zL2TeDwQZWiZPLksDSwGa09Pey+K8iq
NxOBkN9clMXgltzYR6DeaulqyL2GiKspw6xObAQzKfOmCnubbNuuElcgXxk2xVGKUb12E8oq27lX
qG7uqqHtbvTuJc0rSvQ6iB8bEve+5nHYaWibEnjrsV4ML+Bc0wFbj8ZMSRM+ybOUoAicRKP8eF3Y
ZfxngAMPPHWV+hGAxcojD2oML2JYkwQEJm6Leg49wqYliQ9cWGU6uIFyFv8lCSaRQbAs6eqlC3d8
MQRecCki1TlrFDrhrGpObAEFNM5fCyJnvuZkOFy39agvW5HUB9+t+1fcZNlXgPRWsuwcfzzASytv
R2ANL0SSmIswMvMFCQ2brp0t/C15A0Po9NeTNeRHizkcLQ5nIN57RECzTYYwvnZEOtzKRLzZYldj
nV8AncZ1V8btsstaSls5bnszVMf5W2wuIpG+DsgEF2JInSMzFHBaiGTuxQjUPazrek2ahNh5U2GQ
s62BmkOyqVbROLUHZ+hD72KqjXLfTUlAbJVvQc0OrVJdOnpqZsuKzcGjSIv2vpUxeN/W6Cccfp3x
HKrYe240uG7U5+U6y1ztsp+ISSPYw8ahNsole/7pcvKN9ilBGVNCiEiry96rykPgON0PFyprBNas
0eJVncjgppNZgg+SNvMq612sLGwPuqtEGyrc7HYbv5RvOWL1QJSiH6YQicyor79hyWE32RNMj/qG
Zsgx4ytpEDM/hndBEYsn00/DW3eyOBpDgOreIM1t05aBPBjYnHUmynmANKAh/GskYM9sunLX05y9
84M0WdppNHzVMr/ag9hw/4IkqqqNrcOPXBgCs8a6L0v3zo1s3J1kNOfac+QL+xhgfgLm6hAUvXDr
KX5FmMPsoyVMfe3rU7oC2GBA9zWyB+5j/AWKaXBUQ1Rf1cYY7BV0fndt5D1oXS+TYExHzOc8rvmD
I8pZ8tfkKENK/tzIfXlVdrLN11CaiusIzk9YL/qUtxz/ETbBCM8aYIRZnMRui6DPLtT5rzwz/L9V
W2Nkw/J0Bz25zHQdz9LCrAmxIcwOQi5bIt27G3v8gfvACiKM9vbRcKJ4VUjFNFmEeEIxEN8P5BF0
6xpWwVfPgzloJF6XrFQL8nkZFyYO2LS27tvWwrM0hkazbORYkhAZ6teySIfLBp7yVpaRtajzmqjT
eARd5XUx5Tkg1or35c6rB5J+cXAlXwavF+ml3TZ6dFQhWacu2qep1e/lVBNfjEbBzqxr0yi1Xd9W
jxjv+lstdtwYApjoL0TV7TH+2Vc5HKZt2sRk7g1zK4d64rbMHZNYHwTNOUMAjJt1cttXAi5uHw0Y
sSICwIWbrBUpVCthuwtqmRA8V3CdRrwfaTOnr4SXXcR0KOQnCQ3vovLKtRuaX21YY/SltD32oUVb
5vqCpKWaH6PBgChr+RiAMr/wQEMvDS4LRn+nvgl1+dVtCx+KiIAC2XfaVTQZHpBFVuux1Z8yoymA
wJHXGI/fqxqEysQ19Br9EIVmMy4Nd7Yl18GXQRD8mkT5o6NGdQHH5ZX4zGRNTuMdNAGX4L7k0RfV
jd1H0bEps2dcnNADxoMi+nmT6vl9Fwoke4Nqlr0+Qkzt425lZgleBZi1zg65ZszeOMNr2dWlWkyB
fQVro95Xoj407G032Ga7LX55IOL1iK6DdoZOLFwc7CufOQKnV0xfg6Gur9yhlxtEVwuTx+hgc7cv
db8yobS22Z0+lPlWszJtS5AMTxPstOux8iLKJKA02J2t4rYcR/cOghocNwiryW2Mk+/GdqvvKg/0
fRz6xmFK3RJQBlS0ZWENxrzMEo28cHj8HhRpeSu6rzmGLctcT2GdrnzbH6+TAQPS2BnVlwnp1FKz
gKCabnhrVVrJK4HGoeq6+jqt4nQJKTe97xLPu7VMD1AJXJgFDvBxJbhNrqf3q9gUwUsyeC+o2Mpb
s1D90Rzc4RBib7uzQze7b/sc66yw9zVkbyR/PDrgDJ6sOqDHqfGPIBq8JbIAQm9j9doPXX3nkOqw
nNph3BAY5m7aXiU/7NrLrkk+qNuJnKiGnSXlRS2vWWO0y6gJsd2WQVrekWWerEqVxQehcrG0PLPY
ukMdvEo8FLBI8rpeqri94yFMrt1cT47RbB60M1utQ3uqV4z8jkrWcgVKorpIJyGOCcPfldaOxY2F
jM7qKhu8sBbfY6UzF+BrKKhxHG9qWtgGT0YQIzeGPouvXWWbMTQxrFrC3hpFBYG6s929Vfcj0cjh
cAFqAW58PNkXWmLY/xRk/9knf7ZPZo9KN+C/kVvv9skH9sftazz+slH++y/9u1EmLQHFC5Y4xWh4
3gz/u092/6DMnrWGyoWCasw6wH/2ycL9A9O+ayC7FbPwUqfF/e8+2f4DKpkr6KUjs4McZv/OPtmY
28u/FGTopecWF4NuQGfvui3CFkHlTJ6/R2xJ7vU8/rjtDX/aiB42QVgqd9/pf0a02y6KEhTwgiRN
l+DbrqH/kHZbURrllpWe1NSfLuPx71/h56g9hu3vfjVObiYZ0pqRNE1PdvB4L0crNh37QnVQTm9c
lu8bwFl8j8lAsOKF0RK6bkhNrsPKWzQ+ewut6IDVEq/lfXeYhNzWaMTKal2MKlVPU6H512NQYncl
+Mz4Si+/sat10hUTXldbc1YJWBr9hk+0U2vwjRvN2RFFPK0k1sAmWBlJL2Nc6yROVF+CsfN3hP6R
egd5KinvHK9OxpVUYKEXbDLdvVO1xrwZj9ZD5T6UNBuI2XZ7RxyhPLVf3LxIFn1Vpt0CWVhCYdJH
5Z8puT5k/QpSUzsJynRJMp0+shSzLoPsMYMEgXiexBtI+aTbRK2AGYqKPO79fpNV3uPgzaiccKr2
2GUhUbWifg31oLpxUxz3dlQfAGXui9yuH1QWwqRwiSBWddtA3w26/aB12ipUEzvyhB3ddSnFeJn5
wUYj65GyqTXyO026X3URwUYJEZjSq0yCZ2KtCrXQW6u/0tgB3sIscwfSgsZ63YfdcOmr6V5v/eSm
GtsQ2gVWVbJzbAO7cKxJoNqQiN0iqDGdQ2mnvtBD+0534uKuA15Np9RJj1Y3KejoojLiK5ERT/Ul
ogmF514Lb6apXMvRMzclps4HJBwD0BqRIfwqrC2AzWxTqCaIl0bFFKdGKjunWBm7QXjFGi2ethCT
Dv5bL/ILOTX90ih9+5arXh5IDMBhTDLl3mdEvp9nOPvA0BN/5WV68lw0Rv2Qqzz6UfYGabhxqxX3
ZR1O1yIzh0tB3/e7rwJ7I72mXFMJwbk3u2aZjB2EohAzCS7gTm6mkiSoRREXwUvMY4/uoxqW9Ecq
qBx+f6crUJagNLuD1deogRB6s1EMkjWw8Wxh9tD5J/gBxOxheGv1CRl9FQY80lWqvE3fxTWemVLa
zxY/ZCbjYz523HYNB9h4Mf0oAAw9jn+ByvGuaAfJlQOCgXmJpDRuIDJ9rc1xqpYeW5sLs7OjapX3
Ygwg0KhsxDePO3ehLKhWC7NMlTmz8HC/o2QfV4Dt/AmYkac9WEPN5lVqSXPhUtMc3MLKrfXAdbxg
4FjBlDCS4NKP7ewwBARMCLhk01J2ERbgjiiI0bSiReZ48jWFxgVrGIfTw9QX2aWbAEWGmVvGVxZ1
PhFk+AJMJ5zfrsApJT1CCQams0m5or5x+1uV6aG1VXFuX8RN9cUN+ulP1U3D2utreeHa6PhJ+XPT
VWGQDsBK2H8l6tqpFoVjk6iR+lNmrBjHxzM9JutHSM2Vgg2mXFAGZUVaRo4wpbumdkSwb0wMvkHW
4NMwuiZIL8dcNZAbxq67yH07t1Y1iwgEfVDfN1ae29WiC1HCURb2t3ZFHDhiY0iFizGrkxtiKOGF
mw5DQswSubapaqPAAFVN9rXNcnCgoZeEi9ZL0kevyUoSl0WTr7EPiyvi8spLjTj3eqXmOiqcKyqV
m1qyMtpQrvS54rLfiq9qrsO6yaquejMIjqHZx1+KuV5z5srNH9sUHl9PLstbYWfVcfwa+eROgeab
Sz9NVPaxDsdEe8aaRXE4zHWi+VYyqrfy0S8qu9rIuaqsJlHuUYv3X0kJoJcwV5+MdMvdQEE6abYG
Y3muUvW3gpVZvzwEbhdtVN9V95bIKW09ww5umbMyPu3S8E6NQ2rs6qr2j0hNChKmxyZOwJEF9bec
CLZ0IUl8t7bVXFN7c3UdlG5JeLgB4qqhr0Grh4yLYIESjo1YPDYBYbZzrW51NYcj6qH7wfpO6asF
/aZU4OhtzeUQvqtPl5K1eRONIrqoYhOb2twjYG0YLqK5b9DNHQQEnTQTurmvELNjXox6PtcME9EI
IO1pPkRzH8J4a0mo0ZzbEzWdCkoCmhZdU7aHhuDHt9sGoyE4pHqF54XezNLsDLWuA/s1Emyu50kW
CYCDeKTmLC6iQqmjKwKDo6avJsU3D6IVi5tBKy4jj6V/spJLf3Q8+iok1SqCromhGEguS7WVo4Mh
KAoZXY+Yw7cy1wr+wjSYN2Qo0hLo5/aONTd6TLNFPBeM1HgV/wgdXfuGaba8rUwxHKRVymQJC5D2
keV2r3AO6gNRTmpVpfmwnfclfyZz64mn1IL98daRkm/dqXFuVNVEcgB8cER1EM7c7LJEQFfLqCcF
mW7URrmiCHbFZqy0EOg1hfGjHUH4Wpdz20y+ddDGt26aT16qR0bI3GVr3jpu0Df6l6x+Uza89eTa
uT1HElT8yBaO20XEgIy6G41wt7tRt+9j6DDb6K3TJ2RFUyAj/PCqfusFsh03b7wYtTtbrPzbODcN
m7l9SD+N++W9dRUxZmTfhFWm/EyajubcftTfOpFqbko6ZW1cglRhOR7mpiW0J/qX7LvoZSYOVPMF
g+D4xXAV/B3YIDBNBP2nyC2YxkKZXvDW4ZoV9AIDIJk4otZaXqZ3xBc11yD3xlvceyENjE4XK7s2
aClWiQnBqq7vfLfnYw1s+ooknICmJ6/YZYhH2VpREFEG9TIUYDNSSbeC/JKVh6DplT5B+acD6gQz
16S5e0oh8kwYeZHzlEa5ux6NqZGLqq+mCyfCTEdJ1dqXTQqfa1GESUs4kDYpMKVR1F2WxmTBeWEd
iZZVJm2SrN2oejIjNWq3nZCp3LZ89Mm1zSFm6TwDHj6NxN53UcWXAJFXVu7IDoJHNPQwAvm0SvZf
eSKc+2Ew0AeUivgmGY32AY0XC23gziEPuZ1EVxX4MeRcnkppLTnDY2W65R2tL/Wt9Jxom9v0ouBG
xdqrNDxt7wCqy7ZlXRE4oPmpDjDOmPhklCpot2FaGEcCeYN0T8yne+O3iqCnTEcwnuj4VwsHtRcu
uU5b1KK19dVAn040Bxt2Vv6P2u4/Zd0nZR0S21mv//8u6+6C/Ptf/+uiTl6y7z+Xdv/8xX9KO2X8
YZiYj5jPMTueZx3/XdzxR7ORAr8whIlfGNbmH7MDfPaYo3b/ezryT2kn+XHSgl9tCcrF3ynr8Gee
Fk9v00PE7fj33Tk599fxR1n5bZW60PE16HjovYL8nh5DE659x8WaaVrPfdrNreUipIgonpFbahd6
r64BYpHHkE4Bzc1aprdul2ZHtGaPlqcz9iiSMtrkknH81GowH4nEYWnWFF86eEtOra6LuQ0Gy+MY
DX31Albvyu6TK6H1Ww9+7aqpLHfJDJAcjK51yPoKf7R6G16nXMdlqYps0WZ5SXvLIZfUMnsS1aZD
7upH24C8SJDeSz70MHnBuY0S7WTVhD8gVsWrFBHgrJS4VmLY9iHe08LPfriEm/RsJTxgVkg92400
46t2nI686Qfd59+qIqKggvBlLBryScrp1SKYM+mMGTL9XAL2y4lFpYMVCNQccode2l70ek0LsvYm
5gnOtdGI57hLXpQ+GYip2KxXMWmkxrFJSfyWcfIjKjLSjvwm2ohkzFci7ekUUhUsur578EV/52SD
vcRJAGMocV97gqy2BuAlKDeHuDXzi4mx81Lray4MlTZRVXszaM3lEA8PdjDe9YV8DkS894fkpSqj
F3IRrxV6RZtZCeMPTogl+gfMjKNMuFejaKiTYPBpEmYle+zFwJaUQCdGSGbOhTIDKmrQddD3TB1V
ZeySSKd1+aEpwnHta/O1DNKX1kD9oRNhDVEJaN98rELyL2jldOxr/diY/bYNpoPhEPJGjNKhULm2
ZNfzQyT8a5YRXsXxcDC5OTsH8tciAmAHc298nLwGdEljJ6sQ+9SK6gUFDTvVVeDKiTi5aI8a8rGS
JdHN1vCQkvMwYKREpAf2Dv/mS9b1Lmbp4ZXkiUNn+uEyCqrwOi7Vc0givVOKG8IGjSWd1c1oNrvJ
aisMEN3DVFq7MCwaHlSx81PukaZjJI+bDi5nOx1syMPrvud+uuBe9q7iSRjgcC5KAhUWRa0/Zr7x
6ooeajVBG/QloHWo7qGs2gc5JD9SvvZL3c6bVZsOD8IzAr4cTbFJTD6Jk60RfkauE7HHXHcjA+zp
yue8zMgKlNY1/D61YSL4wO6oYUqveBShhoaqGnczu2qhkY9dmOC/iDRzyasMSEEiyeRW2Dx2yeB7
S0KDrOXoNt2uVGOHt8zqLurUdi6GTtNu4mBM1uVUpDcZBk7yjJJunwZlvaQ8EK+Uut8oW2ERU3/4
PDV5SAQRneUiWrnkyKxUPPUvnsrpU/oFaOQtIJ/sMc68x3TQ7HY1QTsNAQeGS2aN1zKLv1VQFJcx
HOYhsKlQRbgqAEWuZzK4saqwd0WLEG8E39SGkD1VXidacMxyQvuAgDzmGrkndWtZ6661XkCeV69Z
Bo8y02Yth10u6PBHVIWuvSEysl2RAu4djcZqFj4OscUUma+5kRdkK6ECCTqy0AfT2NDv5b7RR2cr
zmNYegZfYaghN1JX7XYweejGWD0rzb5uzbK/8Lrqh9ZXkBriT5xsfD9+7c4xCWe4QT8RYwTNwvnP
f1LYhZEtW3bM+U52Gvi3FvWi5wzXjCfxzxv24qdP3LmW25mj0ajE7Cp1ONWnMihX9m1mjyrb+bzq
q8yI9yZcXSKWP2UwvVcO0m9EbcLBZjHkqaisV2oQEYqPndnEL67Hajgvx5HRj0uwpNQc/C998/HZ
vWsn0jQVs38dzzBQ0lOPqy8yGgH0/ndjYwVrq+4e8oEXWxNy12tMr+fzhXdwqGpWt48PLd47Dt76
qxa6B3Tq71wv5GKBfR6d2a9RiVVEtPtx9OxgXi4OUR7FO9Bhr31N8ADuqm4fdeQtVZQmkOnH1wBX
gp9NB5zcfHVBRLpuqhG1R/vI6Q+9zfLt2CYFnuRZzaOrjJI6tbq7IfUfdUDRK3uQ161DSuiQI1O0
rLz46uNKX0pSZlcfn+l73RKWFHq1OC9xuL9rJ5tJ6Ka5KbNdYNYbmetHuJLHdM4M+uQ4564olpR5
a+WAuDk1pNC1cgb+kGfVTeRFjZViNEK5BgMuFpntRmDZ4quGgvU26cajavT0NvD5hsrJ/1F2rMvz
ViWK2UAY5nAgJIcUub590Fz7mrnoNnBY7q0iTGFiEjJaAid79i1z3JIvXzApHMNDq1f1XRYPEBj5
7LdmKPdN6KRr1B/5QWbhD8LwbAwbCXeRzNrtoEU/vHx6dPx2MzU1H+9C7IKR2Fbmv0s/ZZomiuFA
fjHlezsdycQUC+ICjA1ph98qspKWymCP9fGFPLPC4MUC8mig4TXJpv91hZkUVaDUBPLOHvgy24mB
lc1CPrzQevGJqO3drIE30AJJ9n/ZO5PluI1tXT8RHIkemBZQLVlsSiQlaoKgKBFItIm+efr7gb4+
YVE+Vnh+9kCxbYtEFZDIXOtff8PTIl/lFx+dBl6Km1uwz+1suFitPGH/8ZsN851A9tM8g69COw0f
iD9hTq6f4e87ZlJnXS5Eeaj8Qe1aiROwFS2v604vFxOfxAaPcMM6+JpxM0Z+QrRcjtY5+tym6TfP
ISbTwHxi4+WpeRhSDvHEZ3dSc3HW9fhtcUYTc3mSz3LTWTapjZYCsLW9JuJ+O3jq0ev4107rxUdr
Juo9t6lbMDfqApAltTMaYphMvzb2jInXWFP5ZpcsQaxHz8OUnTIb4znPSSlQ9ZHqV1dBWSYyGER3
qUoj2Vrm8htCtfUPbyzPAiYeVEMkVx/lM6Whuqmai/Kg5zQKQ1IQZdARVGVoGd854Q5Iyq0wn72b
wiacgqm8wJqxwMOctQyqsSU1sd+NEW135+hV2Cfiy5gqE6DIXTbZ4NxEPdz/PrJvEjKPoSCxE6mK
HDJcy56EMb7i0bIhPuHTZFIdkqGC56w27bNEPM0UYhsVJWpv5uOe+IdLbJP0ljasTwt/yg1pLOMG
O3BiRuA67Q17efJVM5z/80uy5vTwv3cR3Dur8W+LaoxrN+9GBCejV4aUOETBjHwcSxA6p37nt4I8
8ddz2OMUZltDlwn7/MM7uY5cMCnrEU4YbbnVnRa6eJSeIk4qX+f5LBVLcplpkMCAoJqlVIBxjjU/
BWBfRXCPSl8FYEWwLZwFTixU0g0u12Rx69fa4N0Sb9gGiU+1P5WVGZqqfYW1cZny+YrwYg5jllls
Zi/RuFapI2kzhO7VfRmmU2WQx0F2QZd6u45H+t5eLtZkhtLmL/oNqQJax0+ocdipqCeFfenQ33vT
3XsTRLh7FY4Ym57KfnyQkOxDb6UPLDWtnr2MD02H1els+WSoDQ+Mwe9qTZ5Mk2pNd/sQWHkO1/9D
WGENL2ddkKonr8dq2u36GrWTfVO544MTrw2EnWm8T4p87JpqSUTpeaozL3QVf5vc6C8wbXjFOpJb
fXt6bbouHHtucJrLszTpWXz8KgIrt76kyUA8oUWMW2UfBhIFNZgtS1HXG/xxaH+6/ERTvEduCvgd
DyxM3g5n7M65bn8l2qQ8Zbp9M7TkG2MbFKyN0bQ0cj/WBAPBhL/JO+uL0cjfncfOP7ze1DqrJYWN
lAnDxJ/3wxz8uTYsG0a3O7+W7XBhAHNDfcHNY07CJCR7eW+1q87Xd51Ppff+zpdJt4M+Rzh4yo/V
BU7NHdpnP/Oxh29MF+NY5LuG4eGGMvXzIddbjQYtK/DthL6C+UL8Wmu5f1a48oZLzLnYLYl/XbKX
49Jk3hgae0zazU+DSbklGhNyoJC4PcUdEUUelXVMY8h5mJg4k6UxZbab9g/dwA6KH9ylwWM7wPr1
PPT9xbJ7uQfsm5gEZ2ZYjwsDkPEhjSDtF7q2wDWZX512UbtGdRcM19NDJp2bgUOEJrN/MIlzWKv5
zv3rfP0/hO03CBscb4+a7X9H2K6rXra/UIz//Km/mBPeH6v+hg4XNfU7eeJ/4DXf+kOs0X7QhFeJ
qbduyX9xJ0iCQ+AmgN2Q0vu0F//DnTD4hX+edAbOtgwf9f8Esn2oZ9i4TQvuMwR9uBjuL/UMru9j
X0m9OdpAw8hDUk2/iIRcCW+QalfVqbfWkK741mpu9OAmPkEwRRmdtEZGp5YJW+DmLgkmwin32btQ
YdCRMHhMxB88VTCfS5QNF0x0fqDDbrrVS63/weGH6TjF7JNl1N32PTkFNDk6V8IidLU03CFcfZUD
PRbNuO+KNcauLpxPfdlP/82XgTtgYfi/qu1WSzLMI37eXWhpGqggSh0Z5k53TkSWCVNBH8VFt34v
PvfflsjvO9T362FTgXUvBihryfrz9QyM7ac4y9Rx1BoyM+Icy/ARZUhEesy/X+kDfXy9EsaLOi41
cGN0RDE/X2npSfVlfpYfYdWSIMOAhFktMc+eGclPhAhb+zlJo8u/X/TDZv1+URyEYOSwmDB5Wf/7
3+oMHGXgbTLfPfaAeqt1ETS5VrC9h/20up7996vhS4IkErNE5xeXqdj3RlkWKYnxYrSzc9kUy47M
TH287XP/4d+v9dHHc/1qWCOt0j00Lauo5+evhjlgnhSZkMc6mXIzMBPYMiHCE0obtEybZE6m2x7C
zPXYZsOBVPRObWWLV/u/f45f7zA2V3QfIDU+f34EATim3LnomcnWmL0xympnzPrjKHrwHQUN9d8v
9usaAsxf583UcOhqPirZGqgoZtc46VHpy3JfeU0bdhpvsIKTnZDGvYatuKWfeb+57j99SdofbD0c
h25IfOiBsjgdZexg01OONXErA09zNHs0iKUk5/7fv+OHaxHSye+nLka5wS5IA/Hzc7WkBrqe+PIo
YcxAEZ1duiXRzFfxPJqP/36tD/vt+7Xwn+BWerQqQAw/XystOlgATEePZJ2Nelgxjzvl0hx+pz77
iBSt3wkaJX5YbDIsV+Pn62Co2TZONcljJOwhZV7IxH5D32pQcJr2p0TKAqdP6OdIl6BoRVu4DMlv
Wo4Pa2f9rqBUbHQ67kGO+Lh2oD9ksrY7PsOwWufrQw2jZ9Hic2TOxamKPQgjjjn/Zj9/v4V/b5+5
LC6TfHHMbjlDP7bPQ+wwP41c4pzx0f3cpE5xoqycb1RaJnuKtJLwBI34oXdfCjcgxXQejqNTTt91
J6+bVzX4xSmLSmjZQisIp4z4A4/M3xjm/NPntHkwGBtTHTB3+9AiZbYZjWAX2oHRl/NtnnurCYY6
h8gQ5Q4eaZR4yt3Mqea6zLnH7CwG0qQ2ZhlFxz6rrCu/8yNsND3zxtec1t05Q1KlJJj47rD/r6vW
Q75J5Q2bETbGx48q/BKqDSknx8InXwqdkTdlsAPabvvv1/n1TcQwk0fGnH/VY388G6VmcFO0Vh5p
rZd7Xy7EqJVZZV/lrWV/+vdrfdzOWZ5077iBcjrasFE/tqizh2GKhSfTsa4arOq8aAgFWZk47bnZ
DqZ0HGAIMV/p/eQSdFrGe0gD3W9u7Aoo8ib+vFw9E8GKYGLKg8bV4Oc3NW+UZvBmRAe3H5v56OYG
m2nnT6Y6xr1a7jXTEd/shFA2KXtSrmaVoNuWMmu8jcPQ6KqlVzv5fT/fEbLC4KAlC6MJapoCGRhZ
sZzzZA21krVxWXIzehsQCjxh9bKcl5yIb5JcGueTW4PdIBC2r4ZGsOG2tMwXu8+cT05CuGSHuOE6
Ka25D4WSq+8hwVhzHJn9JofSdVs0+Fjk0Sy+LRplXMvgZdn4Uxm9FZ5mq1OJAwiDxkFFuPDqVgsZ
MenBkRj6UCOQiSU2JT3eS+JH+iuZE+bj+N4vT9EATtxiOv6WD501hkWH8mHbemlyRp9TnCybrUVv
BvmNzM04rAh4eIvxnTSQqVA2QngQXoxFjA9iKRLH2o+WoBgq3an97rlEwJdp7T579dh4FwTxrDfe
/jjbZdU6W0RUot17RsveKdrefV5QUYQTauazu/5sC5UEaRpOUfTta6fpSnLq0KDOZ86Z/KmuZ7IU
19sb0UdvjTIR98oknuRULW6eHCM9dsyTIYrknBEzg+vykqRwOd93KwaTV023rPat+qR9LSvGVUEl
Jl0EOd5vWNkq7t1se7INGiESJnPS+tyTIon1VizKOzMjtRLBN79nTGRydjqEJ0g5SIUTOILgVNzM
MfHoZNtuLJtDAcWT+eiVA8oMDe+FU2Ea8ltO6uNObyrrBSKXlsOhafNmQ2Lvcm+PUMmCLmumOzHU
062crSEJiT6WX3OsOI8TqoInrMgsLEfXdViMVXTyGAYRH5NgBhguk04BoxfVsiuHnLXkFt1yjscZ
jXxE6zVv3uMVC1tjYLwU1Dl90qo5SPkC8CzJoyNoiAW2RRGjXhLM72Eze6xeO7OmuyZKJtytEzoG
BBUaQ+YVKn/Pfou1nCAWDwX4AhVuaqzpttLyetel8GmZc1RbwlUZMWpVcx93iTwKrymvoCdbQFK5
DB2jFWfdJDKxr4WD4b4dPcSdu62sVd/mlNl55mpBFNnubbG4+4wwzKAuo2kvZGo+e0j2NgpvbVHN
HUTr3gyFNi3Q+gwj0J2STLQJoQiOKtAYuKvGky+HWxmX8ynV/R1BR+YOtX51YmLDzE9DiZUVo7+p
C75WnnlNkGRZHs4DGTVGy0ils63nBlb3GQ3dbTN1cBYGcwqH2bPgIBnmzq7loxNheE0soHGFNj4Q
fWYHqivHfeYXIsgWhrzJIpzQV7iKSD+5tMn8zVfGi+qJWk018JXZscCeYXUdmTd/qVeVymYwVR7M
Ew43Ua+Mr4VpnRamW8B+8iZxCOXJLOdhGKKrqnTjL50ylm1C5NMpyQs2YGutkQpjvnGkaZ4RQ9X3
OlAg0JWdhcviXJNKNXtqYxUpQ+xs3UTi9gd5yOpAtGfKFDUaonozx2Z60pm46qSVxO51b+d8oCoH
bIJRaSyP9mKZu2nMMSkEnvGvOl2vbymUrCQcnZWa7or8sVFz/AgpcPw0Vzb1Q9UqL96oYZnPuA6Z
29VOfWdlHSa+hWyOE2DOMcETjotSRZOLJS6ePY4Xd5znrbn0/XY9f2xG0GrA64XsyLu2g3bn8qbl
R0QBlAJGRkhxM1OLrOndZVY6xFQLV7IVlSM4FQF6Gzf23YNKaX161h9+q3O58xcBm2wcIE0Snlzc
tqJ7cvOlDnWo7DcWTsNpEKOhTcPOyax0h2qguNJwk9yVaWbfiX4iQcvt489dGo9XZj+FnYzGUzr2
AlmhN/pfzXRi4GSXRgu4zz55LP0mOZk1dTtcbixDlqFgYabUDrQIuXafz427LebmS4kcbyeKbnju
rdJ76/ClmtEc6caDUdjuZzIX/WUvbKkhiQOnjqqeeqyc6oNaFv9m0mrnvsnhgpMWqAKtq90DHbR/
8CedmG2l980PhZfPVo3pfKo78+wWljj7UTNC8/H1a5iaJSVM6SLmy/37PKpJp4vMyKT5TxMLmKLR
HzSpgT50uX/ioSKKtPsl5BAmrrLUBut1WkR77yKcPU512YZeVRuh57AEnLREFhnF9n5kCLZzvG7A
V01ajxki4Lu4g/9TRHp6jIA0z9xBCZFmCOoh0veDbbOw/fLsAB8EUeEbd3Gd2wf4s+a1H6NrbYhe
/BTZtR4W3ljtcwEamC+t99J3fCU2mjoYWmj0hMBWjdwQlEcu8FAaSIYRpm5iHIGeSjGZN73wqlux
RJT9vlk5zHBxJ9/OGb6+qJ2HfJ9npftsZw4gTlXHV5Nme1VIPnZ+nAnL/dHRjl935tjfd5Y2eQz9
cIsJUIxwplv+2KzcP/uGjl3ts8J1aQD06pTrBAZDQSEHNC3yO+XY3a3H1PNg1m3iB9L3DgWA8pEB
BTisHnlXVT1F57Qvvb0VD8W3rISfvCWsov5M+FC9g1iRvfl2IaNAuYgeUBOCJaV58+S2RK/zq7dN
XUHQ9e3FgKYbLcOLgPSLGFZrySdQeF5wuAomW0lph4T89lfYO8lAVOhdwGO3WWG8jpqvQtkrkhFR
ILXbEkLTGYJ89c3FzPK0TFiueqRo3UFxXPazPUch1PbuThdD+y1tMvbsGr+NnE2gyeIuALGtM/uR
TGJyT18di15xQxbmlLwlGkLaTrZ5wovdlbRJnfZWOwkpl0wzb+Ro948khQ/frEZ6z3HvA9Sviu08
nMTiQS21ZxJkiwBEBHcsFOYnFA1+vC2c4fPc6fJGgG2HxGujM0/rVRswZnpAFYWkyJhd3NBqUA2o
IUe7yieTT9VNB6tMxdkaZR7mZBygHDLmuQjyvsc2kc0pwVs3raeDzpzlpDdozMMOn122s3mJPxFx
TUY2FLj+aPsTx4gOOsS6hPcaxO2iPcjcFwSAVjw3DoW9KRRWrIske5PeaOUf52GpFdyFxpNfiVFk
KYMoiXPiKqPcuOhLDo4wo6fZNswXzVDam4G46jryUH3a5ZIGesWvnazJf9RLAk2N3m6+RhC8KCdJ
kEbj8khhjPFc5KAgz+qLYz7FqCJwR2F7xauHRVXAQCjFRnjaxWXCuUnJAg+E6+0sKP2bpkSWa2Wi
2EwUJ6HrJslGL5t449Fjb0rTqtYJzLcsN5IywEzOQTwOSW924oOBzfeud8YfHWpgsoF8K6ih5e4y
fG2CrHBORlvYgU6GAAl0PZmERKXhF66FbsRyFumkX812se8X/WVZp91J1Xt7rFazTVHM+R5Dg+lT
7RgJo3gvPqfl8KYpiLz1UpQbZxiMkwTY3bagWSfZYP3oC+ABYyK2zlRNv1fJmtfd6f6GHp9Th0KI
HODKwgZC1rti7Npr0U3pdaYz6HRiqnkKrmCcJyfsxul2RPi3SazJOdgNAbSiGDxaExXmPTH2hPlE
d5PO0LTLU1JOu/ZH12iEpK9+brojV78F/2sza8WuwUMYzh7YwQK1GKuAe4TYL9KxdlWUQEPrSeor
2lOh1c9jsdz2WXTqKudRNdGZLRfAKJcwj5vlLa3jJyakF9co94pqOijT/MUXctwvGSCl2/nfdFu0
wQLvNPQ13X6sctlsRWV8m3ydwkqL2eQT45g7EPQgt5HZqND4uMzPY+e1GHBDNwpQbaS8dATx2Pef
F3N5nQZ5dNIeWZebyxHe2hx/FsQnYK3aeEQrNwoTDwJFZSXNvb5sh5rA0WFqD3iOXNv1I2nkPdK7
2t8mrfzkEs51cEc/C5p66L9oRuNtpxEp40APc933jXZAt7O+5rM42aZ0vxDBXkLZrh0vbJOxOcra
AR5lvE074frJtK9GnRKasZPFUNxZrrvB1ppdUkwXGxPJ78KBn37S4MTOqC381hN7YzBG8wp9yWob
XiPpucuNZv19Rp2lLzOg8whwgRrzGGNz5CNwyRBYgGpaKZSBNNd3ehsn1SajHjq4Zu9qN13fuTJs
tSqF0ukDmjrtSMv5HmTeG9GzF2ck1BNazurGFK7Y4L1DI0JyRJ6QPVHRFsUse+IT2V7AmdaZxlz1
0fN77kwEnXNXrh70qVymm5oz7smro/mswUMN8OEg0mauHXGTarYcttjgL/dkT7ItEXlqwqtauxNd
TsOPdDHG29SZ9Wuhk3qvx0yLk2yMnuNCA+SOLVe/6K3dbR18TRV4F9LTqhod+9wlw9ry+h0008RW
7WdSnygdco1gMLLnmyO1Pb8aKoKGBQQNOgIIRKyuTni7gJHz1ckLI5QN5R/MVXVnN/iy6EN5LBWC
goUj/2hkRIrI1iTnOrEBBVqafK93wQjWSc379QZladsZbdYxckxmNlk+7LGSLr68/xXfK4yLcGj7
KxdTMIayy8EwM/XSFh092NQYoASeSbrlQtmj0Wwy61lKB2I2NxPjKjIWk67evQPFKp8Yo0wYv/UZ
uHFeSAVJQhJRrPl8RMabDNoX4uqdwm4/V7LjC8iU38g+sqB77fGWlbn+pegFT73McE6KsNY9NnY5
3WUT9e6iJYLA5J6EAjXP2CIKvpdVgIUrm7avHhJVBfac1ntKNXr7vs/dJhyyla0nF1ARwEs2g16n
OxG4JpBQYxOHFYmiYP2LRbv2q1hh467JvSDJE8eT5cpvmtbAFsPvgGRq5DDEZC/VrsvG0brO607c
2EiurqqUuPF2sQGvIgIQ3tedJstlh7G+RvmPQQMa/OU+6VqHNmnS1s+XqOhNQ54BKEKbdZ/36z3J
e6ZsOv/Is5pgBgzcNkDKwNLVciZauNyj48e0vy+XsztH4+271VxVyQXCLSugswS/2x/WX5inzqfY
wEHMT2DiqRwFXecqrPlKV3wpBD+Cxqc5uuX6X6uOu6U7cGsC3XTn88Av2iKh9G3m0xrOZLoNayXr
YHrjA78mzlNe6y44K/YFNPy6ZkRvC3qBqyFlNZkLvzSdtOoFKLE0cZswhscOkvm1r4/RaUii6iVK
BDQ41KRqoyW8wpbZM5scu+gUKb16ydwW2WU9kTY/t0Mu0OXkkX6hOeAbloiwYbPEcUYFjDpo75fS
uKZvaT53/np7C5Fnp77iNg1tZVxImMW5Zn1hjTZLvhdLoV5qT3LpqW+HU97N0bEDci02vae1L8sc
B7EAketqfs5vZHbF5vuth4YZJLqk9ejUayk8P/AZ5u3bAZqWwPB833URL/vEGxj1sw9iUfpwuIZu
G1fOfDaBwM+qwGa5GVGLY0e/6FcksOu3pelEJxs7N7np6HzssGQ73AvTBvxgLOqF9roKRgU0Zysb
SAEDRIjIHvLZzUj+xslxF/EtFql6YRSpVUiZFe901dhRWNGd7hAtRM9QZss9bhjaw0JD8OZGii/s
d+sabATEZtdW0QkZZwFFEwcKxBgIAlzPpe3zCGT+AeHMtAMajOnLe8j0NHhMoVoK8gYoFafdhLKC
k1GlmNy0Q3kDH6t/kGL0vqvBit5kNaHPt5N8JjWLk8mSuPDOtktGMwZAzXHwCR1LHXt1lcW8JQrd
CoA7zAmfn/+En/+P6PAbooNBGADDm/+d6HB+of77KCP684f+khHZK5nBFcwGMObGZp3B1v/3iHD9
Pxhv2Lg9wB2G5QDo/xfNwf/DZbLoUdmuJsiGgG3xl0WE+8c6Z9WhTLiWCzxu/heawzpV+wljX8NG
KC8IqyKQ0Pk44StFnyJ+yZaDG+v2wgjMKq9JxpofC3Sy0GNt+zej91/GfNjDAeaD9vPJ6XM/gPrg
Bgmidmc+TBPGwUIbhsBxRvmb6cEvQz6+0spZgPLo4C/5ccDW2S24q51M0MFreFjGVN9nVQOXAF3g
VmhjvtFbwgIwY9Iu7ehOj39bA//EZIBr8vG+Yt9hrDM+z+AZ/zJl7Ge2y9ntsOly8gkALVl2ucuZ
PECgvZ6Q4Jwm8s7bPYnywGAKlGVFMSSesy372CeAID3eVLRr2I8nknJJt3IKijFD0JLxd3NonUVg
5toybCaVclDaUcsmSXj5/FYTtnYxUw8kcMJVNLFsdljXqYFs7PpLJOt5v44PEHzFOg5HVW3CdWN2
uBxEPekPjmmom4YW+IGeZ7rrzD46jU6rXryikCJAmzu/YWvHgY0r0lPe4xHQplN5Hemwm5tIenow
VkaJs5cgSETO6hm2Cj84TtK/btnvoT060cUfQLXDoVWiOnKrSujYkEJ0RBCWZe4Nhjfs5m5rYOEg
jYe5mtldpyq5tcm4x+Dex6eH0yDfKFc291U+oGodXPw/0s6loXLIWFzMSWLpXowhxI7mlCHouKde
i05L7057p9bzY01g41Y3u+EppRF7qtPF+cTTwQsJbsa2NAB8e2eqX2c8qYLYxTdWjuX8SARw9Qw5
mCdT41x5cEafd2jkYDO70r92cK041HUyv429mh9Fw4/Momk/O0TdX0dTbB3ruNMfekCqz2k3ltcr
e/+6KLCFDf20xtLMKkZcmpx+EYQ552rbKoRqYzkYWyC17KKcxN/0jEkCPPiaVyviH+MMUlMQp6Q4
HACf2k1p9TUqb15nT+vmvSP7/Ij1l7qZXTWiPU3pEFqTqGzEyBBTVOsxYFsAkF3Aq72mR9klJgwV
sC6pb2BdrLrcePiRCfSuZdetKQRCsGno1Vc51cMTwTHL2a8HfpWZzHuFscdGn/jG/qipmyhbX3at
tm+1WAwgjnwXx0p9ZnpJgXAsYykOSTn8YDo+7zFEsm5jiycREcO5sUo1hwXtY8EB13NfM8pPUEo7
QPGbAtZOlJCMeKPo4oiofoUzuZzLMZkfDSxJ9yCrGXYZdbYDi+u+i9TRH/AxGEOoVvQqGve2jXmO
ab/e6nWJ5iU9zYwbyW7JZgODwoUnYSEQ21s66x8VsXrOYzc65W32PGptzyCxKW5j743Gm/JLagUa
kDYqjGPS2l8F8MPqo9I/xQZrc2Vgy70haAEsK/9qRe4AdugqZvE2i3ItiaaEB+W4WrdDmahuFQOC
W78b7dt+jvSHUrbqubed6qsGrLRdEGftGiOqvpqFjdjG1OxPk7cOALSUussrx+olpjQhMNWcNWo0
fOLev5yX8BLgR6ddplmVXTjJdDmTd9F+BvrMLnPFgHNDrEUO5qtHJzzwCmR1Qh66ynARFUST3NuT
hByQO4LHVGS9uw6x6i86wsLrVMyuuXUMs77pHCP2jM9e5uuZ8zxU5di9yqa3nqVeFll8GMylRIHZ
LVq5RRI79ue5HiP7NMZmb13MDCAA4dj8qHv0M5XTY/Om2xMBrPXi7FiHNpAJzECmD1PH1tSXN33F
nKBjhZ0sLbvrRKvd4+R10ez+xipUscMHwL5faJo2NpKlm8aOwZCjGwATxk6kJRxiY0mOhZE9tlCt
tgjr+21vzd8QgvRba+i/Z4lRHPFOfIWikByThWSdUu/VdYWSf5vbwwS0GnffdYSP21i2V1NXRztc
TfTTtEC21cH9g9y1Y+LgYnljLRZtt6+GOWjokJzUO2mZqkOZ1+WyUX5UH6EIYHCiTeBheFluCpnh
Y1Hk+VusFmZXpDGA3bfWHPhWeZlLV26NQvOv0iRWZ8JOxp2T8MLWaaFfyZnE795HzLDMPEhDH8RR
AOEfCpeuRnWmh0+dZgTAj7yW2CzuE4Gg1tAKcTXa0j/0sf7JLCKfVsptr/XSN/Otwb1/bdU4OoGN
wTcZsDjfIHDKUSQaSsLE0EcGthF4TAtSVxqiJw3X10FYfQcYOXLqcI7aV7Ma+31sx5x5HODebsDr
cZMYROSmpVNf4CrqG73L2h35lwlq/kyj7/Cmrx6UHkSTyE7LKcYiL8+yZ1+LKhftnzPvGRaCM7kO
bR0cCHL6BsukQjTre6ozYMveNt0jiQ2GCGc2kQRXUmW0G8V7dbbyVl0xV11wfRLGkfQ5PA2ThLeq
3dJY1ZsS6/oNaLJ9Uk4zPS6jiZlBygyDOJ/DmIfmoFUAwc7yonJhH425WB5UqqoYVwv/MC22fyz6
aL6TmbmEQ9TXpwxzmcAx8oLlng2bfMQVtsU88d5tCeuoojW/LW5GLAqVt6u1gbSadWQ94iQZWr6Z
fnEdRN2emEf8ieZh0/uDtsNWqAKWQzqla5zltBtHKU1AbTJow1iL/afci/V9LlnxjlklR2+YcFsY
I+tckaHA8GTULpANUEbXy3xaSaI5U3I/YdTvNMUPK65vCHJ3r/2pM5ChjSOQb24bNuO3JDurdtGP
ityaGvMrp7nKl8h87jF6sDauPWKgY4w4hSQzU70g1VPxQxVFkeO8VTpTKFIxHBd8ZgJVaM2+13P7
ecx7ycA8k+m1hcXpa2GmDiPo1hrIMtKxALWf/UGIw5hkeFjiwQIwp01ltnMTe/hWpXoVdPm41gWq
vp+mLg+deiirrTcU8gorJRKQo5ksIZZfkRxJIm+u/bqtrKDBHQOPr8qWhwnXojZIZWXfzkYkD0tS
qm+Gojdmxjhn67Oh8VtLpDQ1OYdWlkJqt+W1bzBM90rVffcYIiq8hjAj34ms5cAhR3l+w5EcuGHW
ootikso7AP3i2o0EWvvYXtvNBBVbDZP4dpFSu2i4ffJ1pZnseiwrvDAmUycoKPISLM8m9W1SPTlB
CbF1N/rC6UzANMY878VXLQ39IdXn9rtK3dQLDTvh++lIb9ACz7OxpQx1Pk3YbLSbtWAstwbmNmGa
GPkRnlZ5nTfLcrBECxelGtmMmxQNSqEYm4SJ3XK4ox7ULmXs90/SMOPbuKDSKJEd3cTL+6fw6y8m
XkByg9ftuilDbHhDiuIxVHcpT/y61u/YBsvvpnLwE9fgs3Fqw/FxYjaiTdHwcRjTz/tE1/qnRAJq
YFqqeSUYezPv48LBFWCAR5L0wxjGMWd5RbH1DORcBO28lr++Uz273ZQfGceIDRb5RFgW0/zmzUoi
6ogqaDHSB/Ac4WDMuCYwLFdmfswwDfkdDe6feoiVIEi/5ELY+yhMYuCRVXGsdSh2jfoUEYaxlsNu
GdRp3dwzoqa8N2svHHgwX9u58bAVLrnZfWf/rqHR17bs5z7xz08CYQNAC7eGn7lYfWVivZvW3cGS
VP6Bs/T2ret0xjbuAKjwamBI5HNn0fdMd25MgHXa2uYB7PVrHJUszBIDqNYc5qtyVPWXvres20Ea
0+NIxb379+7rl8SHNRvFQzgAy5OcS2zCf/6w+OBn7qCZ7UGTK42hBYWdFS+a0FNMnnpWHUcRC0wf
WPFZ15Lfzjm1TtKrl1RRN7tMPH9D+XxvOX++g7gbQfxeP5QLsf5D4xv3NWtExu2hKEymiaS/RchY
+/p6GbVh3zR9ErI1L9vZhAcFJYQKKlU0r26yvqZkZ17S0apPhNPDcIrs6jsuOu6958Rq63f1coi0
BmeNurN/l3OJLu2Xhw9b3gO8oKk21xiun++njReIyuexOUw1ZxpWTSrd1oU/7yroK9xLMq79xHTf
YGEOB1iX8U7TjRfi7j+PZWwS20W5pNljHPaqqM5DY1jPg1LlGc1mdiVEYX41SM2dzsR1lsNVkyQe
ELyehcICdZUA2PuCrQQx8P9j7zy68za2Nf1X7uo5vJAKodftHnw5kSIpJnGCRVkSciqkQv36fkDb
fWTqXGl5fma2ZRFEqKq93/2GVHwwraTZ4r1DvVqU4YUCkvGFcuYzSYAT0giSsOtlh0FiZ9yNMQwz
A8QMsl1sipVduS5mgB17rOdC/++mGjr+wAYGwkrNTrNMXxLn/E8aTUiF/qtkJ36r1VWl29uqaJc9
JVzK9pyCHttFbIVwM/zoMgvY2ipqrnOs6y/ZwFhlhH63jsdkfFzIveTVC7vAEwHu4KkvtI/vUTTF
PKQUYoihul5tRYwwcj00TlQYB8fBZEyuBRkJ+MwumkH7sY5ci2Gh0+RH39NFfMS/Kt1EevkPEQV9
tDE7ZDfrKPWwpyNhNLDPoel2X4jNVQ2nMTW9NJOsgrOQcMdxFeIcxyacrApFKe/DolsZM0U+7bR5
oPtmiw3c7snMaDWB1MW6E5C/1mUIxK4kjVuQuM3nORvynUz7dD+MVFdmPvFFMsHoN0nlDY99Wrz4
kv4RYlvzKZgKrCDkvPBtlmcX5hBBTlovaR4iMe5kZjtHi4PjNnfGdB+RjFutcaUrjj1si1cF++zV
nfF77+3Ctlcs23zn9IG8oRMNLnNrYrM20fR7RdU9VbDjnjCBwsBfsRv1S29XYaC3TuDZTEjGC8WU
sZiGnaXj8ii7jK6l8p0VtZN/WzpyeDQtKI1g8vWr6JD1wV6fz41F97yRleYE6Gurw6wKQKltiwah
WYqxSOSym/RRRbRN0NMZRa7b++taaNZIB8XBWimLP8R0v/29rhRPpdSQCOkOVyJ19YFEsvbUNi2o
HAaQ4UqFyxGaIOXcidkHACrt9nma/eBiTcAsWK2Fl9hq5CnF5OHixTw4yQG6r9Dzr+ugGh8DrGfx
cpnTfbAgQNgVNtdlDj7kp7TJAemr35g6xnqbBrr5lHvlzaj85jPzR9ptU8QolFzIhVOyWBbzQytj
KZyX31q5C5crIIpTrmsSlC6zM6E8WZaqWvZ3M8+nDeyF5kW0atgpWWbYwZiTvR3GFGRkaV4xbqGB
T5Tb3pqV5M3UGaXI21ncVHGF3jO28cshnxMSiJzAdRxmoQCr3F3hz2cdMzJQI+ja22fI8IRCIq5a
86AGY75yYxAPp5vb2zfEp3L4fAglwP/eAjnBp744FpWVHvDehMQReMFliPAhe4MHjNjgMbgtnS2A
I49+AfJ0Gsy7HO7+ekqSb9jszlea5VatFU720WpSYGFBDHplNiq/axtXYUnImII+hZJsqJldtsMI
OFf1vOJ4wiVTae7IJJ0QEEezBImnA4LDSgL4LzchHQ4QATBGA84AuJu2VcmKiVUpPti5t0gXTFMC
fI0d3DQJIqjdvH3WONYV2E9P7e9xBuIC321+qNBarSJbFkdjAVeg87Gt0dEzGV2QmmVEvngoVPCV
dMpPKpGS7lrNFudYXP4Nv3k7JFUOdlvViQux0fhqmnopl32D11eUFEttR1TlH58mlJodhqPFsaqt
6M60iurS1Ha+aYUbXKA5tM+1BYbG+BtMjSDk6jKVzhKaQKfFdKlnczfs7ktdEE6sYoodabbhZfLZ
Z+sp4REmAomCWTm8kDzHnLejfdp2HuV5z4ztsnzPrVy24S6qO3jzBYhkmPrUvLnkr3OIkm+BIPA+
WVBv6pLlFKBBe7ECPglXD92XoWUQl1hR/MGHgA75d/l+cpcGgJ1oVXjcTrSgX2/lbUDsxi7Oq/yu
xKF1t9ASNx6mKfdvZ4PVAwHDPkk++Gz54E6AqCM26x/8NwOmcAqDSxtShrRzbt/Dfx/XYckQy0Nu
cHRph9eJl1n3jYelSjrwIkMA4uNcmNVFEydwETZFbLm8g4Ty8FPXkXe6k4jLN+VksZvBG3ucJ8rk
JgefM+vCvofKz2bLPvZcd0HzCX0cY1qimtZvkODYA1oGNiOvuEomppWUnx27SbOmzcl3i/Bh19aK
4qSn2SlZ2PvecUBB64JFMZtj/YLlIAD1BGbspBGtQk/h7HjttLEBl7cc9nw8b9us8nkaIEfwvGs3
fqKrn+EO2ksICuQ1UCjpwGIGtHlofKp2A/vVGYLfyMM02d6SkXWUQ0l7Mr2xocdz+NYMQh7UBF5m
F6pMjxUOlaepKQARl63SMXkoyIvzDzqw0Sh7qQD1gr7rtCHnQwJkwpqUoNNVz7zXJ3T53mn94au/
cJd7fnUYttjcQ9ajCWF63HzGDYaSoyW54ZhVLLK0SZMPEM9fxlHw1BC4OEdMXlkqY84zwNiCbmic
2meqksxd4WsP+7Iw65C6ZRDpNXNlNtkJUsljXUdUkPM4b8aBFz4Hub7KbSD1t399W5hzmXHEGHA+
fxcTZypaU/dY6V7dKNuYd2WSIaqeahZ0SlUZ+4JNhtSm+IPb+ITVaZHqq8bTdGSTP+9Ijv82uLr2
YNrQwL4BxQuV0LXpTKelCpgJK8Cj1tbDHiCBO0bSXWTTYQjcT/CGkIkvk5geQGU7CMatqxxO1qmP
+j8TY/8zqvzFqNIh253C/H8eVT597fr/ekxlnFbp6/e2h3/+zb/mlUQ12SiZMDhD3ei4Dj/0z3ll
YP+GdjVkaof68E93wz8Hlq75m8caYYxJb8gZvFgS/mtgidjNY+7nUWmSwxf+o4Fl8F4KRQflo2kV
uC0hO3Xe1GPf6Wjj2Z2KKosTjM384UxlIzAFspvujHbO3RQugqxVPjjWXWcZBA/FdM2pSjeFaU2H
PJFGtgWF93eyD+VHQsUBw50ifEyDvtgnoUHYUjqE9blW8GgHYupyjHMScYQjSy7OkC2W1cJY7KlD
gmPFys2FtxnDGd/gplQHPEhPVZAP0C/mGFNj+g74lV0YsbjkEmCRPYfT9Gh1BU4eLhO7B92PmGBP
xYzpu2HCEc2G23iqLbh6VYr/edVNkDCNYlxrIyK4Ym5TeGjaajgAkbM12LGnUZN1lE4sN+m09ZWe
5mqlOsd80lKODAPM+T5q5sUslxAeO+zwTgv1cudFlXdAxF66Sa0MUrYvxmqVTHP5MU6E2NlLz5B1
/LFvthh6W+lDjehsFUPevgrceQdjtl8brVlvYqTi8apL3f5jDn50E9WWc0scMVbtUKpci15x4I6L
wNAbHPyhTgK+bu0GCqc3t8WG3zmnPuvdtVuHJB8Zvr+KlPM0IAg/WGly8d3Z3ltDwoRFjz1mb6hn
Nv6YYAEkJhcyY6zdS09QNvYcldfjmqX7VVT2BxQ9/YPbzRlecam2tsZoyzWOZDj5y64SvA8xXNj1
KRPMTyRaocfmXrZ51D9GFVRBWNsPc07eU4it9ItcuPMUtj7pnEGywbhpG1u92BRZHN/BJ3SqzejX
xVWQldjZVWSN8JTLxF/R+nr4wXbeTe4Y0cZI/PFTJCP7dsbWi8bPU5dZN197kLEZPxftbaM2jW/0
lHUnFRJjkpHWBUqkLgVeMCtiQEB6KiO6ZXj5HHd1tRYYyh/BVKP4PPVmMd6qMK7bVwlB/sWc2uFb
mo3WrVc2cP3i1vmYM3zbkC8zXLB2bznmx5JHNjWlvELL8TIpd7g28Bvc2pP51a3KF3xxahIYRNUe
oWohcANe+TDjctBtwNcCmIjJcK+NoV5nY1RsvTYq8H4ph4GUVbD1bBd5WGCvi2qaXhKYYSYTEMRa
285oO7XKM2lRsgI0Cr/HxRQ/E/MWwSr2jGZiXpo2xABaWXN0Ozb2zSSsT7ojqkASIAntYit9s2wO
oZc28L/8pJV7fNbsvRnb3hOMSHJkm6+mDcAOTZkZn0SifxDFiGFOUrjNihN6cZH0bGAG9g5+AqbL
Tpdcd21KSkA44fIOm5aPGR+G9RCT4nLVEXwV74MIC8P1IJtPZWo0w53sZ59fCSWfMUQ3zKHqFXPH
5moenXHTjZ6CXRTuZ9dJjnmuR/JwtB2UYDpWyaBumDOaHDPLEcg3+IUrsxZXQGnR1l/AeKwgrG3b
9BN2iYaxsRoveHJlOQvmtufK9I1D3HfJHgVXvIo8LJ7FAvyjTSU/ws1oiFSRP6tlQFBm7XQOGMm4
VV9CQFiGCcEyV4DyK26TulwS6Jg6eNPS44+5u87asj1ly3SiHoZmP7qLvsUq46tppG1cD5nW9+0y
2hD04lfK7I1HMJ9kKHBTy+NNyQClwD+nhpZrOOUua87erJiJQouuIQ7S/jBcEcuYpRBmfQWzlPRk
wSRa4ny3zGTE23wm98aAnUq2t04oHdzqGeR4HqBDInC3Wc+Nht3wNvMJl/GPzsJh5Sp/OjPDA/qX
4wtCMFIw3yZHwg/lzl7GSUqP14WO5294mlLwjb6/AyYHcwXuwheSoZS7TKc8nD7yVYIoZ8McaDhG
EMrX1GPygqn1CweLt5v6YjyAFjH4KqKaIVj/NhCDO9H/br+NySD2dBfYmOFuZIgWE097cJa5WrpM
2GSF63ThM/xPtDygpCJAiwN2S+wZbMNlQmfLilndMrWLCJU6epOrtlhAmGevB7TmxA7ouUz7MvhW
eIa/mG6VXdxFnsZkrov9/dTAVUblmH4b0nmoV4AILkA9e+9kkWgWonQ4tphR4YHGYGtjKudGMiZB
Go5mAUHYfJUs88rUVME6LzBgwiQ23Ag7tU7wbQikGNqzKst2a2rEpKIm6yImSmBLkF2DOAaehl7m
pVKHnzH6KY+xkF9adKjbIZ8+l6U7bE1rZt46cNxYkgkULv+HAdAIH7DgGgHMXd9VDtkLKB2CYRS3
+N9Chze663jO7oZlzjsl2Y3iuZ5wn7VZjcV17L85YOQMiFUaM6qjT/Z2QncSKC+MGTeMQ79G8Dg/
AO3Nqwn9gXtHokfsnTReRoyjOzOutzYnJ+zqVCEw7E1npqF0aT/MrVcF2twmEcDYR2gyofE8dbaa
yVvxA42BFqaA5oh6COfj3CoKd+ujpZsPFOYfhY+RxEYTxuCsurxwr8fcknxWYPFkAGYIUkwUJF/n
2lLQiAfdfrBr20g2TSb1k9MM6qlE/3ry+8w6D8iu9i2Z4AhqSl+B1cz5eIK5PLH1Ez25U2PSHwii
0VurZMcMcsN7nTP0btRz2Qnxx+CsYG+Vd4EecPEzsarB7nPLUGCCexTEX1p7MPa0fuKmm4N2NwUt
rqqyz4AJKrbXvAUjIFAhV7vEjONHglsa3OBwVZBNjpFUCJEBo2XtoirHmJcJ2oAfHqcbHnO12zhn
SUZdsu3hzSPNsnGcoXfKRnMnOs62VQC5IFt3PlErSzbNaSYzOt7ooBuHo5nMw5mgR+NotK1H4Rch
1lzhOBN+sIThQRvodZvuCH7B4DkItdwkuLBv8rg1P3Uiw5RWZWZ2GySyvcvCbOrIZUT1BDAh9l0a
qZ0MELUi+KQlbHNFn2sywmdeIOf+iYwS0uU6iL5lFiwO2Lx80JeUgLdO7J2eiS7U6n4g76eaEJvk
qLO62hkPMTYb4xK3E28dIoeu3dnLFtDZbwkRx5n86Kau+QReizSoIdl+HQ8OgfbN7FYjn0tvrlPZ
989s3nrr8JAw1LY+u36OBtonTX3FG43aVQFrR0H8yDE47gccb+Qg7HWPpSGwsJfgCdyCHANnJCg9
RXLViKnZhVPZXyZ48kcvCdAXV04gbpE5DwyiRYWSBjvSLcmLzikYuhbuKUL4LyoKkpeQmvvBnj3/
HLlAwKieRv/SmZRmmyi24vAKgb6zRlz13Jc06nOUxyCuwt3BaIvhxgvzKN9CabBu9D45IEfETwaN
PKSOzz5Q2OFV8ZZpY0TxmtbSemU/TU/pZFhbXJC95/EtFSd/S8gx2pS0HKBW5A89ETrzEqZD2JGz
FR567xoAcguMExIBx6hCqHE8A89P1/MSzoPGnWTQalIEdhDdgz4meYWZQp6PXdfuznpL+WlAXret
TfRPibcIgh/igAyPYCB7JCIIUENdmiU2KMB++WMzLVlC7OcZrt0EDBEQUDzDfSN1CEp+iPt1DLF4
CSViztvufL7Xs7lEFsGNnwglRNFnawKNDC0MjPOgNEL1sKj9CT4SIhpQryxpSPkSjDQtEUlZYRCW
ZFKLN2Ex3deycHaGKbeIhzLU08QsEW4xXme4T5zZJEZ8ARMWiz/aFCzsfE4u03VitA26v8zDmh1l
+jof53ZVlx1rXbrZuUmpUYrSbCmg+uL3BEQSZJlUym3aDt63sa+nLx4ioGDdFKG6Gm1bodWWbv3H
9O8//f8v+n+bIoBB5//c/1+lvydp/Fp93/r/+Zf+smSzf4Ms+32e3f9v/UPzNxfuZShcTGRM4dLE
/8VVdoPfyGKG7ApkgKTwzbnnz9afzAMimk34vu5fSQn/979/V/87/lrf/DEb7d79+/ehcRbM6+a7
Eaod4LkOIEFuPGYorvnetgtxAwSqorPOFdtBj6QX0b46SLHMiODSezBZk7msL1luGdNDqshkYXiY
ILDqwka8+imKXwtmT+aQACJItJ0lFMmCjze2FwcHqAXsQpyf8HK/e9J/3sr3v/oycf7bb+7yCwc8
WjMgif0Hw7Ggo3qJpCbMhvn4nZVgMC+Ib7mwKZoAe3NU/MK5yQneuacsRkqmxeIX4OeLUdQ77yYj
LZyGViwmVTS8oFcxsjW5B9bi2g5FB1Jpa7QHS5rwRSb8a+lp3NHHg9Qbxmgn4sSqj1gFMUPRo89T
qbxo0Hu799RNUKVw+moM526SBS8vbKvXezeq6nPWWZGE6lZRQlt5JL1VK/E3WRPBCuMmnuhBzoY3
qjsE9zBMLC1e+6oBsMnagEuFSTTGdHJRVm4mESE+mjyjC9Yeb6Rdl303DLuIIB9MJGAESzrfdj05
hXiVDhzP2TVCudV9Y13LgLDttR+nROwyPJvirbX85mbiFhAGk9i+tywjxa3B77i3TkICMZJZ3cTe
xK+h7DRQHKV288kep1wDuttt8kElJb8RRnHOcV5qgAcJxVynq9aARmBTPXRnu3Z9+1rnSNxpUWav
ebYB45NTLzu+vxjV2dqwAVnutKwA3B1qhKeGnt54ceyeJ5d2eKlBIqtVfZQNdOv1SKC4XkceE/VV
0Yz8aTNgeLAlKAvCtNItQ1zDzLJkGX52uMPKauH6wIGjnc0r8YqpSPQ4zF74OA7IrDHCppTctKl3
m3jQj9dm1/KQ8NLgLXhu33fPCSzj5uBqtF5bnqMzrEW6SG1SjEBgDQvYBh9nXfNaR1vY1jnGKCU5
6eWV+MvDCbFq5f01Tn0OW2O2IDD2Bkmt4zhdJXiI3BqBCWkvUyzehWETMDYlumrboWpligI9lHgi
z5/8TY0X3xZubEx4Y0vzZk9qvod10l8bqKZ9Uu0iJpIUkZBbs15czXPsPRqjb11PY1PckLpFUDnN
wQEPEzdYp3blv1ZxPj41dNiKgS+fbDLBWBnRiQbrJJt44mURIU23lSeYx6MDfTS8tutvbTyXSF4a
fT6bUfo83iktPfkBpa9wdp2IyVNflwPFr4auESQaK3i+SGTypeLdpZQw07c5m4dmqWbK7BseSuou
LU0GUN4SAFLHfCMdpcKwTqjg7uH583qKHFeHlUFsnQfzThclVF8s3nkyLC4EZSzKHL/laNeZmFQ8
Y86i7pBGsBCIV+IBp3Zje/ucOcJZwGYlQ1l18hCPGTPzLLLVDUbF7YGed1YXpxp49D4ZMeUWOSlR
zxarjQQMlfFc/HAhWQ0CT1vkVra8z7U2jEdjIE/yQrVuyJtZwRMkyI88mAddTnP4QOVa5ncROU0H
OBuyXWOy5hw1irtxpeeSZ0npyrNU5sTYLwwXF/fGLOUhKgJ0Ey67SnJqWqQe67cPOcdoXe1qeI5y
443Louglg6OVmqBMsJnX9n06GLDgsX5MvGdVBIP9IYsY7jGMtd7yxiYLe5WACjtYdJeYzMSZOvhR
LLMXaUkIGSsxQNp1oqDPnyQ7hJVAcyYn70NdVpUXrFRsROHWL2IDk/7c4ifBnMlOGAjxzvtCWtcZ
unX1FFB251+FX9k2GdAz4Yvb0qTu+VBy/mjKxwFOxTGqQH8oK2sQ9GNik+VMRp1P6oqRxia0es18
L42D6wovu2d61Ghda+ujP8aKHMuyHh4QRhhbWEwJ+q+mWzsD0DiIdoTmAS/zVZliom051iw2iV+K
A0nQ3oR8ImuN9ClO3AEr/0Z4FYmGzYwtTUF12QA6PHZYK6yd0nwxqhGdHY47NHVEp6fJpIKDldvx
56KL/K8qdiJoz7L60BfeBauudt7mhVS3Xu3HL8IZq23JIbWBeencIS2uXiziZXZ2ZRJY4ms6JRM1
5U2I1fLab+geMcrJi6u0iYsHO+t80KuuR9Daq5UxKpK6JBSFsZyaD2Ohy4uAiL0dmOTfsq0TjRIO
ycfRLW4m31TZXradu2vnViGurqv9iJT8Y9x5xcNUul3MEKCChMkBhodDqxGyh/kOTQ9eV+2EG17h
+2x7o1Pfc+g0z5Uom2ST6a7aBalZPyUeam6Lowc02xNkuHs+2trGg0wbpyNJ2pHffUslUtECvtvB
1lm8m2CsXIu4891NgnvCDLWScmCzaIzPbVfW+6BoQZSywqmPfqLsXSys2yyqm72pkmEjucdnBtYN
DvL26B0rtADjdmYSct32bvQxbBJvb3Q63wm04msjM3Swm2fPuzaSviUrR8wHs6rmI31SeNRIczE2
knLdQy9at4CP8BE6735MR/3FNIvsjD8cqRmVDIvNz0uiH4o5RHG0akBQuPw5kB7+Tipr69IhDI1x
surp6kiRwbhhcjiEXIPhPkTf+ow5kDz8/Krv5GdURb4vBF4QiyzMxyfo71clLSDxk0mEp5YR7ScU
IGwMTW9TY/z8Ou+GVG/XYQjmUS7byPfeu3TiN+gNXUgb5+ZLheGbkj17YfkIFbFh/POL+aYJMZMC
Gcngu0dpsYaNmCLwFBTkItULG2Nxt10bTLK2P7/Uj4UsUkGIQtTiJmYb7z2BWwyVGkOZ3slB6H9d
LVN+MUGm6jDWOXcEdP3iK/k318NZEateC+Ek0rh3VpBWULNsi1KcNJlCj38cQZjFcWKIqqMa6dKZ
x/vze1we19+LdW5ucVlk+snLe99mMDJ0mQ327gkODdWVD7MlpSyJOIErtah9XQRyztooR/7ZNDKO
j5//Aj9+pIEgGxvjRRpuW7wP0KkrtzXB6b0TCKg8TBNEAWVN9a/CIX68TcEkFYYsWY6oMd99NUVk
T1WEC+8J+xJ5mJka7/2ARIt/fi+wIQIhIOKy8N5dxesBk4XBvUCaDzYeqAbgDmD9z6/ybz4TgZE4
ilK6nUVe+vdlnTOZgF5Ri5MNqr3HbYGPYpwRdm7nqLeu+0aN+hct3Y/7F3s6uwm35Tr807sbwzMn
mqfCc08GoQzPFlSekzZHSpGhIOurgkFlr3Cl5xP5+a3+uLMQG7UM57nb8MdMlxAyIO5WwkbNyOqO
CAg+90xENjqDs/bzS/2bW+TjIFOJGtyn5bf//lR9lEpcqrTh2ywMj9Kqz7rrkb25fDD50sGp5av5
+UX/3f3hWh1AMBAe4ud3Fx1hATpJ6FknEr7koSpd51iYQbKn0fnlSn/jCvx9qS/xiaj/XT/0gx9X
WhKA6LKfnLTsgJkzqxSYBWBpd4d5nSQ6tUBlFs2UyWqirpuotbrrsUURs3Mh5dJc1OIVYmL3xYIY
Q9WpqyK5CXKvKX7xWH78wiFPkPQI+c/28Cxf9ozvWA9VKqYUGQhfeOlwoTSC1LU4RnQrRrF8allI
Wf/zN2H9uA+FGJxQVzohSubgvZ92XICXRJxxJyMwqHVV4NA/9GhkvmDrzZGJJ8fyvWepdd0ORfsJ
YpO2Nk4aqru2s9ti38bMKnAjgyPYw9dN/vGqD5GvgAaxGHh371XeJu5oGGew6ksdUHSbInuxYsM5
dYVTpTClzF/BOD98m54Du2UxOLf5RBHb/f0ltDiQUfTP+oQ9g/vawYnOVnNb8Zmqhm7854//310s
AOUyAWjYat6fAoEm5SBuw/mkYgKwsgo1JdxuuhxhNnRJP7/YD6+aOwvwMbdMZznx3gcFlblhNV1k
zicvEjSWcbqwaFiIdIk/v5D9TkxgBx7b5VI8EO3Fkf6+MiJzLlVe409UEDLpbkx6uGFtBF2fP0R4
XHXnBvKA3LoxtNCE2bOiI/EdRsDFcgzWrbpL0hycwJholtadBVUZZo48mIYHlAXq5ezMYkE/phb7
m/1kx/NNXyFdK//pRuwRDBFiWc65hk3x+1IoJXOn8XFcOtmk9WymaqjPcKPTfWzO/7jq4lJLUKDv
Atj6zvvjDVGN3Y8Kwqg0PQcSZsb9MxIPtwYmQsSRqV/ih8vp9d3G6HKs4bjM0seXQmBc8X670aVj
tVK4J69V7lfPs8eTdKPw8Q0Q8fwOVKfVBUZgStm/2Ons95+Iy5UJ3fUcrmwj5RTO35eZW0R9irEe
xqRoiEuN7C/wcqwSUB05Ni4CUfAZeUjubsa6s7prWC6sQAfiG4mDM0xxzP3mO3MoQRF1vuA1rfSX
xmKQ/PMb71KWXpehH7RS0uNmA85OPaVk7xlxngFcBk59K7KODNLl8yJGl+ph7qXVnEZM1xhKep26
EZMCGuuiHNwvBziKVmk7xv4mQMSXXwnTyOXGtPLydgJtuJZeb2C3l3o39Uxozb72K2znxx5lr+lD
brgAS5sVc00xhJjDSQblOQY8hIg0GknL3MK6gIt9QilhraFRiwGRg4WJKpG6bSqgcCBgQeTt6Kyq
WTPQuTRCEquwvuDgnAOKGxnrJVTNAoYir0xuRkJ9462PAVh9JLIU0BtZeJQcvDGnK6pazZ9qLDb/
KD7xhgJ5CYulrmkb1lpSEYD2DbQcSW2O2xeN+yxVmB/jwFB3jdJlcuOUdVFfmK+O/W3ndLwQu/FZ
3bVVNvldrcnU3ciht9qdZXrqLjft4BJ7Xp3f+Y3VfVGdyV0gpBX6q0MQmXslW4bWax8GIKJEM+Uv
cuviVSB80x8bCzv5bW5n7mVcpKIgGjBGdik+TGrnNahaNuAgIFekFQGEB+WMMenoRPxEMjki6zOa
3erYqmwwPpJ+yqXbXHNqhWZFGssqKZzO/lDBdunvrNTA0zDnc0lu6FfRPVizj4ATMyX3OI6SoeEG
IrSx1k2F8MCz2cKFRp9xqvA281a2T4jxxcXddDomSAVwIlbWmF4zmgPTCpqh03tV0MPCNAhBGWOc
vuS9VZGvhnpD8IFVSeDZ10YqORve6gAwe74+ZBBADQlEq+RkeT7CqAggJCAOda7Vt7DX0U2gMfX4
A4ITBYS0lZNg+uHCfHtNoySJ8MvqJqhUb8vKs9lb4BU5x8nHUeS1wnhMAs7P1r2lrCQ9gPaCzdu9
yzYuPcFX1AYenVlSCJ6r3S2YuZN1w+c5xUJjp1Jw+D9GM5A8XyPhLIVE7FLbkazuvpZWtiCxEnh+
1WS0PwiSQODfjj/fGwAZE7Ar/yJ85hGrHGonidVBbnbnEmsKvS8bg0lDwYhyOrrY2Ti7LLTj9Lar
Wn4RC2KV3DWFTbijtlr1MijfMZBW+yLP74KauKsroQosULKsciF1Ren8NTCYZGyzoLXd29lqQIGT
mdrYYf1Nfsl5zBgAyz6YH8u34jLNgSDk9o7/RGGe97gekibRONDlxgadehTpJYXMKMg5LmQHWj8X
DkHFIGg6AJLIXBzgmNUCtYGQ9wuVQA+kFf5x4v9nTvrLOSmr5ruaZfPav/7X16pP+/n6tfz6f/7X
VVpVX7u6/xtH2rbe/tZfg1KMmwKHxoFxKARk6ph/DUr932wwGJM0iGUWCnbxr0Fp+BuORw7qTzAh
WjefQ/evQamDExT5mSFdHZpVfvI/4UhbOBz9/fxekukD04aNvbSKRNK/q1QdhEZl71YmnECjTtoB
xZZnbKAwRjhsWIpBvutAvZ+dsZE76HgWJh1N73xVqoDPUuq0Ys40d1eIENywRu+d6SelC9d9tEKq
q83UWZ/RFsYPpUIVBUdKPI0I3K6wpejhrOK5sEvrTGBhlBg+xvX84RrqY9jsCW/ODwtb6OxnqEVK
JW4L2TufjQmPgjPTKFyTXc/uL2OGicWDk8Opu3S61egiSf8YUFGVzvAlexve2p1iNoarGtrjnZ6R
nmvSxDcOjNB14jvDpylD/aBWA25HV7mTovNpYYQ0u5x3+xFXk5LQP5sEgW1TROmDlUBpiJl/6bWE
cuQdcedCg4aw9qPnDvaxg1ext1X2paAu35Jqubg1tWmGabxt7zM7vZ+RkNx4GRPMA/+Lc4VzQFRi
ToMQpq/IC1pJAgW2vWW8Kpz4V4GZlROaQ5+DAmbgtqX1V+sRVcgGoLIVW02beQczRFyNIfMoq4fT
dxzCsKXr12H0qMvA/9gsLvvQTqEKyagnUT3rGlEs0SDszL6MsucRjcbWcGzccz2I1a1sIDANqjp5
YV3gIeszCB/KKV0qm4jZ8DxP537o42BtxA0xqqmn79oqdlNzH8VMZ3ILt45eghbZ/XSYyRuoNoBH
mLW7UZvtgjmKDi729M+NhpW/0p2h78OCfFgS0yc/PbjY4BdoFYKheogJPcFtd+CMVQbcpCLsuj2z
kdnsjkixqpI8g0JA8MEXWca8OUyahSjCbdm5axth3bUW0bRVZlRtPYzxjmDXd0ESeTg5YnGd5/WU
rVOBC4VLUhqyqRAm2oDqm/BKw0lXnbAxa9HRiKNDABHY8O9zhVuFsI/xIK/EDFlUTxoeaL3Yw7dr
BOR71HzRyc+rXUVl+mAYya3Csm0lucwu1op4+HH+ZJkTLqV+Gu2icf4Imt4dW9TNW9wOsktbGuax
EW5O0mZrn0KD/T6nnIUNnSBzIrPi5AIlQa+r07NRzPpotixN2yvsh3C2X6qeiILWiv1VlvTG2u2z
cUdSQN+fMJTLjlRlnyXVxEmmbnxumUyQClCaW/wo9ozP1p3bDDsX7lfOgHGTlka1jlsjNFYNIvl1
nCRfBeIf5MAYqzB9WHmtiUbOldhyYH+H4HuY40slMPsHgm32qDw/9qnRrSwy81aMGaK1KzPrht8+
O2diNkjGAOg//j/2zmw5cmPLsr9SPwAZZsDN2voBiDnIIBkcMpkvMOaEeXDHjK/vBaZUpUx1SX2t
qx+6rR/uNZNEEhEBhPvxc/ZeG4EHEVkFLCcfKPjO48t2kM1AjAAbJLRQgGlSHqvReZRWcc399GYx
IurSXodztTylbrev9VacvFWYRTBVtUB+hXCyjSF0qNhNkCrbz62Ue3+ebjNTQ/Lm9Aj3moJc02iB
9R7ZL2gN6Q8g594YZfGtsLFNmtXobmj39I+pVt0iaTRC0WEjw1DPIpj6t3YDPDIrJyZJvjDA61IN
6ECItuWkKoajw8iz1SBG5H64e+oesO+J6A++Kr4s3oxMwNTFyWW5PPWKidkUWRmZuV2GRcoiTMFL
jYc4kQ9D1m5Jadn4S11dJrjAb8W6muV95DWBn7XauWlM+5qa0j3VTZeE3DBKmqkRr55MPupaSzlj
Tt+TriSxw2s5oqSyCLCDo91lcHnq59TatizrD3DqVw6vK4555qEPVg+MwfUdywSE+UwbvbDN3e4D
60q/MQcvGoLG6rJLZvYgc7u82+vcqJ1ey56JlpNcrWkSt2rSUTdo3cbOylfszKTFiv5unspdBRAt
mDKsEyByr7BdWV1ggke9nu3Aoli8PMJUEjvFQp+wO8gI640BQTXrnjCqoKUjRvtxzMfbRpMKK0CX
PSNreXYAAwSFNry1i/joxrB5erK5G0BM8MkK6EDmuMP+eKzdbE9GMRJSAGsX04jlfvTVlwq26BZk
cHvQO/OpibycBzhnklEmxXB25KhfEgO5oGhuijZ5cXMTRzagBr228RJgXHQ18Qm2P6NX2wnzdS1t
NP/eby00o9l0nbh1COwHIlVZRv1POfrHj4XjuxuiVvmqacSQEOsIoHbYDjI/cTruds4gzTOiYD8g
5C1lbC4gx+dz4e+LqV+OSd0duga1bhrle5yDRIwLrWFUqcFyzotwiYQX+CO2bCS1vf3F1rhfGHw1
/zKTf/GQlKu51VPyFnoO+u1xgDCeOcnnZnJRgZv9zZRK9oSxeDZsxOzwj8SwsLFmQmxN1T0O9EFl
6pVfhqk6CH/+SDRUsR14PwgH6hxPjpeehxkbvyqNnQ3DwgxjmMmXCasxXIII3nnPKezspE68mzVr
Dto+tl6JtGiudI/yKtAYzjZb5MkVQmaruo+1oYV6pLCf4xYOGzh8h7kmZc8wjGZX9U1/Y+ITR+Vh
cnjpdTAylvacaOO6PWNEqF0RaL5zGXXPfEGsUd3pcTNMG3subDBJ85L11yrT/KNo8+U0DdazPenN
ZwwDWnyISrQRO8cbrTawCmNUgW3XOPnZZ83t0IkvpTbcG4mXhp09dlfEsfdjpWkcILWHck76u3xK
P6yU1l0/ufUJZNkH9LrF05SCjdYQv9C4HOD+FvITy6t9GPG5vGUozbfooNQRXbC5zeoh2btYUwPf
b/KwzG3ebDu8rgkY20r3tdsYtdJLAyQOpnHrf3d70GI9Y/zASazirfa9+dEbQfPnvf9q5aQjwxv0
XrDQphstcvXQ9JLsCbO9jp6C5qnwAN5aFpnOk71+ibhhWQAqCqMv82++17y8mBPMtsy+Nir/POua
dxWiGj5Y7bBFdpxcMLU6xO2wZXtZY2AkSZWdcChWdkCQYHFul6XG/NwDWG+r+NYwi0OXR3kItAOj
KEa8K+IIiRraT/oHuGz+YfFc+UFbxKHu5umJ/DwkuCIVaShgQN1AJfwqc/8Lq3Oxk0gWN5zh+ucU
YbxbWWLfCDVviGdKtxFz+ltYPjD5TTzjiWPSfgGybqK0sFDjmI68yYx2CYqunW9KmxwVXHkTxCX5
hegnI+ynIoVHhIPtkQWyRTDWWwXJY92YrMLoGF1FaedsXq1WvUpGl2cIBc6O/Ij0RR+VNUNlKHxE
DfZsPZaJZXymoeJ+ttMK7tjSxQLaN8R32uZb+l75zhQslgsTNgrg4eT1i4bxW99UlnlH2jNYMOiQ
ClInbItNSeURJiBI4yTEMURf8qzQSOzycogfhUYhatxSaIUlWAgllqNrjl8ZY7l7ifuXKLEGNBzO
b8QpNekCkyMCNsk9d+3kZHYXwFEjrqCuiRi3+09DZ3ehuTRkCsEx3ThFHQWKYFViT2rYo++xL2vS
u28UBwuhQZCobDhV+riNlHXJksxCJuSqfYGZ6ZwmJTLCjnlTTrrMvCS7YpDqqpLB3uvG5x51/65D
D7HNyuiZrlMZFCTMRJptbeAkNJvWUYE/ZBHD27naIqE/LBXPXammNmCwZoS1VhGfjvkAfZFkOcHo
jYASIb2EF7fkyadRdDfEHYqd7vMRwzl5nmp4YOTUoQxKy/PoEuSdGT4iuonSEG0bJqHYa9gTi/qI
JPyKat7ew6T6UlT9M6oagJcucGw8GpTLDm5qdJCAwbpNY89w7xtH3WpqGrDna+YLQzdiGIuyfJ66
lgYKfnyQEprNcErBrqnRhiQMVPGF1HTWyuW5lA2KKHRaYVpH6ddcGRtj8paHBfHmFph1gFMSkOjk
R8+eUdzIpLcvyhZdiFPkO8Uvbtmk3RrZUiPxRuA+2QNSxzbZLUVfPiPtxjtr9/FO2pXY2kRvUXT7
TjBrWUE4G4vLPOblTuiOvLh+9FlvVbwR+eTuodhPD3JGConj1AgxClL1GI2405vsUk1zfzH1Gr28
HENcOGvPRJ8v5LKcNMMn1cytrdAbBgbwwhtvmPp+rTlvQK17Nf3lLW7cPcbD/oZj7syHkaOsWY6R
nw9bVGn7Ivmu+ZJkArfVgWtnzUHm6l6mFmDAhOUxkX6IeEHfNQ3HW8R0Fg6NYW9iuaFblZ3BS7GB
Zijwc/8Zv7qFLXh5m7z+S9THxBbkPD+19dB3t14dPdcDxkmOU/EnjchClLSQatJlCWPLu1mE/9Fv
6o0Sot7nbI4BGExgqIAWAq3SSV2ym4dspDrT2kwPu34BU5eDK7rkESEdkIPuYbQNfpCTAcSWkGGx
MdkJJNKDJtnNvt8eMTO6n2aVfLOA82E+GOcgscwW2LkNeREyRvla1FlZb9PUKC9sWQSVTbVVUODV
ytvAu60eRmSVh0GbZAgcNd9nqRarsDGBBYV1ztDXHA1kejQ/OeQ08nns/YJGZzIcqarzo/CSam+L
yt41xNucR713d6rqn2a1oKiuxZ0g3u6+SjXju5O2/XlJUvcEWlIdzGJe0fPRvMPGq57sal5Tg803
zvDZLch9Dvixfrcs8QDhoY5vLDp2YQ9M+5aWMczBZZr2FuF2G5Ir6t0AuZakewK7FVClyKrQfBE1
s4nRDZKcwrwubTsiV3sgqCjqAMz2yIubzNqaSRHduciEMS3Mn/2SNnxpeoh2Cz4xitrbqi+qg8rm
I/EVyBbH4YL8jrKiTRCi5uKT0PV0I33cKVmZIMptnIoySC2bMefPt2Kkncghy50o9zj172wTClM3
mSEzlGyXQCY9UjcevbJCqV2Uw47lytmymmOpwnO7LQDGZklzx2HKv/aZZu85CtNxsabsdciFWJFD
en7LVs0uNHJawL4izlVb+UGTZwCkIs8J+rwMNVreQW2Y8uxhacN1U6SHNreNUJF3G6Ak1M9dLrsT
5qTvcsH3hgwrWM8W5pJeDFb37QQp6T5T3MY6B+QjchDKRTGGGqqywCWvYpOj5z6Pdnafmogb87q8
jV3vBc9Vu6e+luHU8PiTQ7WrDH0fj/Q7CkxHYeMk80ou5E8h3ET42H1b6gYlYXc707/HVB/R4bbQ
BEvOWaZFthfUkmDsEt4eXBRoKCHaYlZlR48OSV2gB88bh6JlPo18U8N+pRnqfcca6RgK7urwefCy
z+Dgjr4t7yFETccU3/CGIyRGtO6liYYKMOi05ajFk0yXP+wGopr4NuiXxejNPZGFtFEWNl16vqi2
jeucaUc/67fL4OahlKBROegs1Qdpa7RNxnH0dyY9ZtbOqznHM++IyIPcHTl5+WMYK46DnaYHywII
h47AxojS8ZQACMQNW30mcVY8ZLHGjfSdvRxlskFxuDyjqLj3FgHCtzFMrPT6rmsdAlGUytyQQlmD
h+XNOH297KmMkm++IS/tYp5z332zDJOu+FtnEJrU+d/VAG9F99N5WxlERbWl2MisCo2swaUoh+9N
p/Kw0PJPidSSrVxb/y020BxDFE0Vn14Jrtt4U1X0AhJjoWzJok9Znd2rhAU6bHvlTsh8bTIge9KW
NGp6oiVi0mnGgUP5IGfFD7GTI3gHG6k3clu1U4Vdr/OY67vnBoAtdJXQzSZmN1Ne9Du6OChwit4J
SGT0JDv0LPsbJspqb8OaFQEWCSJ+CskAhFWtI6TQUA5pOYlM0PRSkXdPmu2W7a70UXtiJ81HFVqM
2OqzyxlhZvkw+3SX2cKQQMf4jJyooecAXUrHauvbn9t88vIODLpo6Vj8GDf/V/fr99/qtY3d/rf1
D3+huGCdS7r//vM/4rr5/bpr9/unf9i+d8If+m9qvn5r+4Jf/WHYWX/yf/U//t5P/4dOvEVPnRb4
f+5YeqwJcvq3zRspZz8143//xd+b8cL9zUYC4jrACalz3VVi9juwxNDt39gEUOyiDkONuc7o/wCW
OL+h2wJmYiF8QFiD+uKPXjwuKN8xV90TGes6Lfx/pRfPzPzXVjx/AgUo1hpDmDra7Z+n2aiXqy6K
pHYmDnx4QMCGhN9WzrEslnzrMenDBjuYV8COw96v8XCCFxfHVb++ield0lJ2yzOTxzI0ZOcf8lRn
DwZ5XpElaGQh5NUE+Xd8jRvrYOds9xHAL0Bl1cvY5/ejSb2ej2snNzcJYOMbE0atDYashC6A319n
VbML87Gr6M7QWsKoYcWYUMehfeLEBC7L6+zNDGLqq671wexbz3yTv1tNJwNmcA+zmLtrVrvrUsTy
RPXUl1cg4j3dKV+eZy8ZGGTJMt8D+E5psVWALkbXO5aQy7ZZtnQEfeGEx9yDxj+vF3cT83EyMEfc
QAHDio/quykDD/pkQjFbzYdFV/pWbzj/NgzfbnTlH4rCvDY6LVirE8ZtmWMSi6YSTBXu/9gHVJoT
chtI6Ue7Tm/KkAcGxi+y9UDG+UjgnwxJx2HZgYZwXjrasp6jeacS92kY1TRweujsu8mM6XdM0OOc
0GmnGKH78girVm7GOXkRs2EiLHfc42RD96gMDk9JK8VGn606ujRqNvVtUSepImCPEB/9PFSRtTxW
yoJYtk3H2te+5MWE/J8I1l4jthSZggpASLQYdZzapqywCdkhthaFg7QqH/GDIHoID7Y1sTsOctyX
FH4HTEbTnlKiqoLUYJ2dyqq7al7HujdDpk/goyytNdCOT50bDK6c5g16EVstJ/c36Ih6LoKst/OL
Rrew0TYajc8Y1UKjQMrcootj/l2wrxNV4gT8odaDyUwvaKlOXlR1rnoFJudc1dKMeBAE+TdaRmxO
V6tsfIi6vNxXkn5EfGdBNR7GHboDfO17GtKquwo24Nl9pohs9UdtmF0/3mqC/CtCs+KyRxSvcwye
Ul6AWzv6dEto0tzIHdHEFZMuSD8far+ZHvDoLiVxa2Tf7kwAN3hWtXgCdeOIKNT6thX4ngbtJcmd
NN+Yi1eSq4xH9TY3yBcBCSK/MrNflRekkF9R9mlNyEoiyW7FBPwSOVVeXrRs5lRZNjNF6jC6AwZm
b6TQkEkNYRZ/wWnOjOSAilnbpgshdeEI5OORDGYP1hDnvg95WoCUcKRrfZKJbW7oLsR3ZEfIOxf2
+baDlRq6iUHgMC9Av1301tmWWPi2U1Ush3Sumnu3VdWLmIArUqgRiIXdJFvhzXRojgAEoiNigeiI
XklD3kiUbo4PmhmHQecJ/YlRedzyha02c6xuDgyoOoQTtd21H7zqXvpNvPck53ZjcO5ENsRPUdFM
Z9r4JoAzLV5e31f5/+qtDkOrqtv6e/fz5va+Yf3Hzvd/0YZoMktGLvefb4iXb+O/vdYq/8nC++OX
ft8MPeM3kmFMEMf/7rj9YzMkbchzdZPZKdyLdaP8k4XX+Y1NatW/Igj/md4F2Ot/YzL9i6aRfRX5
pMcAytEdBG3uL2NpY+Akq0PROA6IKtIwr2LnzlJjc3kPZvvTR/PPntv3azGJQcePJcIwflWeD62u
IVE2qqOHuuKyDDMS0d4SLzOfwA2hEf8k0vtVMrcqUeGboaRHpif+ItJT63i1QU3MCW51MGLTRxLG
iBv5+YSImSIAtZE1+cYTHSTz6e/f7FpE/Fmv924YoIJFxAnpBYHqz0WG1PR2qlkEjouiA1oWJbKe
whj8m9lYGEFEi3iJTP2f3vIvouT1IwZBQnlFqeQypl1VCH8SJXctnNHR96DmEhd1D42j+4orFZGd
WGVJ/7oQkjYGmkCdy/H06lR76wv60wUzwuAbtjdxSAD8nD0fI8GcdIyCfQsLbTS4P1ainyzof/Zt
/2o5J/3LwWeOaRuK+Op6+UUHCVxEX+JoGg59PREf27sRErBlWV23jFfQ/AKwMi4+3IujN+fGVQ5O
9VI16FsZNOfE5TKB866M5k0wVYMDF65pkvbGmMT0kbnaPzwFjveX58AD323y3UecjCf/L3leJYEe
oFb6g8NOY4P0ZBJ7buNClztYYMy0ZGyMJwOfPICotnPgn1fxfF39lAdTT1z3lLa+dSxn/PKx1SIF
xkjEs9RGJvLWVWY90aFNwMQQS7HlEGRcShrnZBDkq/a7N1taLJpKOcmRHu/vGmcyLprykI/3Hh7U
Rpvxv69e7CgVKMsWNdTOZ3+wmAgTRTsNDHykmZ2V5Uz32BoQW6XAp8QBOZ/2gfmsiK5SmYpHjqBw
i6TjdtZiemrMkoxvPKWwfQIjZe522xEwZD9M1TzeVHqCYtp1CLgehG2jll8XAjUTOxNMA1pOaDnT
vcil8rF6SoJ1MhNZMXPX4w8xJESQBkCzNdzrbVuXoYCFu5pWM7GlLeu8+Qpb/w/tHnmFOHyTbrpq
UjOenI6UhnRJ0ShiFSOSdBbTK/0MjsxY1FClvjt2e1vxTpvcHklzaVFfEtAYvdDVREPa+yMeg57P
8V24FwHTe+pxS14XX4qXUeKhdzXEk7DlxVZapH/sZlowPlpPDb1+O0Q4gt+f1SSLUawmVjr2t2kO
mqnIamR2yJVo781D0+7bEU9liMQ9T07Ci9LyuGICQPe4nKTgwthm8gFiqXjxG9bTTZf3WGzK2eY5
GSrXfvsBjo0bvvwSOruYlXghNRHHm12lPBlTTpvAjhEtk6DI7beaerrv+xmJ5AA9F++v2Tav9MOQ
DsY1FhNyfN5N60xgjz3M0iYYmdtcU0abxKGtCsX3z9+eOie0et/eJrnnbYSPOpNUV6Ff3n+G8xed
IhS2rBtLctB4rw+J1w2bMRZi18uWBzhZvx4uhsjm0LZZFJ0N+HMNPcexp5s1+YKxpGcoK+hwj/V0
6NHuXDrptrSX/DI3p8cGuxgqk6ieIqrATJ/XASS/QM6yoR9Ho/PAThCGizKzbRFL7GfS92CGxygG
r01TOQVB1Q5p5VXSd9GNuYj5FVPO+HWYNQnVGEFyej/Omjl+aPn4k32LlnTfEp89BotOY5kAcy2s
MccFmjM4fM7tEyT5ZDuljBmiCmA/qEvSQuR0HC1Jq9bPrAtE9T6kBD9EYp7OXVxPT24Jwm81d3Db
tfliO7mLMDkxPhKJJjdNMrsBszeDqUbSXcdEtnHQRYPziVMTSd2J1Y4ArAEAnQdI0Afbr2OOT7pZ
IyStQeCoHoZUy7Lplql3AnLpXhq9ApHZL/ZMkNBYQimYtLambRSvrOul+yrSZHX7aX2cbni4SXSK
uqlCbTm0pHF4XvRiVW1XUdHazzTqNJBI8q0icfWSQaSzD3K0WLINb3WJq3cn0Zwj7UoAYAygOfvp
yjbHs2ziN08PrkbC1rhgJZtXv5NjdOJlneKShR2vekxnGKbruyORYYJxaWyjeZ3p/hQIB8a3qfbj
l4xornMJ4PopA8/wAVAXX6x3dkSkt1jUPGzwfiN0UgHAjmzYRusn16E1kNIVhlxqxzucxb5zcopF
Fx+WtjE+lUrTluOS0LM+WqVaLBzgTTsB3zIUmaamZX2mlei4W1Xlp0I00Q0w7/gepH2CKFs8eUki
X4pOvc3ltK7+qfFCa6/fZD2f0yQy1nmnMdKTqBvzU69FPRRv8Ai3jRi9RxwxubfBTH50rJ5ZtTVK
JDKJ4Z3taCXOicqs7qbehO++2OZLmfgNWaowqYKBPOONPZvSC8AwOENQWlF1qTzN/lwYFj/fsGOp
ZychDeez8MeUM7lsonq3IH0qGJfkvR1io9VuyiLt+ehK+m5L58QfZ8+vD6ld+XdMaHRkb+QPeJCY
8pAYnvaVqQC1SENowI01InPIjYHbKgVwhBRxHIuFXcQKWEg7H2fEzRdtmtkWSkYlG61w269ItsSN
8+6Iyd2FzUL2PCltrBOsM5EZh44MGPaGwG7jQq+JtVS6Jmt6Jvg7g8mrcTuw/O3IraGnL1gHS+xS
9EdXo2Xa2PyLJF9NppMVkxpIdCuucTNnvVeDOszJwDo44BZnFu+4/o1oCi3M/JorZ2wm5D96/nQP
aIPvkjNiuPJm9vFacWErWuy3Zc5Y8N+XQC/pETF7GBzgi4w6LjVSB33MAw3ZzASy63uvcIAyqE5r
v1ZWzs5hWIonwlwk6JKC/bFNHdbp8l0ADrQUsTM9e4+KYeaIsv/xsox3hbpMMiqJSFstEJ5itZcF
Dh1IUoRJkvryVPr4lI2lqOBsjKaL076H3TvdGqh3rFBXon4dUfaBy3ZWL1Baru6qcVi1+JUi3+Bq
y6aAPtm4HSrDoEhimRPF5OuD5wHEt3HO5m2G3kY68yOuIueV8zML6wz992ZsFIQuWsbZCksw4qfR
WyArMn9xb+zF8lvWRc94LGpNPzV9on3vlBT7pB/FFPCaqXJSDSqIOY3seiSts5NL0RlPlsKDSjTB
hP5ceTai9XhK109UkjfNQAI0IoYMHxVnqViqiJrjjpIHxW16t6oULbdRMySnhg68l4J3SVM93RY+
MUMvhjbbDlTwmdLy0bVSrX9ET1u4zLLHJE78K1BL2D2bvBGEgbA1yjndzTlTPOM586mW4/00dk7g
GQ70HaCi21S3EVoggU03MNlJLHDBpZIWRw3imVgic1slMBY7Ei9h42z5n0QHgnW+yJbmltsvr7XP
ypIPifZx0kR60roYznGbsPXMEE1jE6zmPDH/LfrR4X1Id1PBr8NOIM723EahLK2H2GdJx7xD/oYe
4wZZDLi80ySPNcR52hSFcSW1JUKDzCIRZINKMehQkdCoyb/jtnCAENfRQQCkgVIhh3rDN3Bkwl99
r5T8jnLyTkz2eOS5pjDopU6IYqPfOeU8bAadMENiNYiIcOSW2jh6nNx+3mVsoptMwi6byCmy9c6+
ncy+euBusy9XU3Fi5yv3hB1qAdaILvRLdxuL4rbP4dFYfFR3+tzEz3gF+ldVm9alHkraT9CfKCAn
uS8gL8MvubdK40rlR5SWNurfHcx3J8sa7JREblPgBwoqD1m0f9Cy5RsNIm4IsTYxQiTHGpNN2etk
uVERDBhP2IHbYGamzQqS6KwQ7Feshl1Wg4Q0taNrzZIQwLzgIS0TVpvUVTyRC6TeCG1mgRdvzscM
pOvqJv770+l6SvrpdLq2AT2sXJ5JR9389dhPezsjacFqkEu9F/3DhIlIraiav7/OX04/WBhXYzSz
O93HOvnL8ZAmYtdnddccisplMe5BiD/JVuGWsyfMy6B7Obq8L4d/f92/HP25LgAG/MqcTG1Oij8f
SzmSF1ZWT81hygr3rdNQSJNTAL9mJL0Jt1NZzVfXTViL5bBWuX9/dfo2v366jII5FfMF50X8CkSf
24zuieHWhx/IrIXp+ZO/rrrZO92qixvWfL1RHEvWytsETtT8nxlO/b/YsVtbBn/fsTt9U+23+Zee
3fprf/TsrN84qrseJ08aY+/mj3/v2Tm/OfwbbBy6pzOEpZ/2x/zK+M1yKWzX1oQJSWU96f8+wLL8
3wR/jkdhfSoMwtD+lQEWtpZfni+kO9hbgf/5PsgUtDc/P92mBClmMY09iIFANfg7VredOXrlZ3Bt
znnSlRweY6eNTrWeJv1xSKvuIWnIo9znTGFzdAUDQsIkR6THxMhC8atgeTVTTMB4ZKcPiBUpP/IK
bI6QGRlR2nghyzixNqggo6fJrJyPbjW8FcZMnFZRPg0ych47ZkUP9IKe6iZGMVFxeobOXUSEAhkI
5RWWldt+tEnx8jPfuLZuzdmt6fSPAmYTSC0tNa9VNeanVjF+r0v43/iSW/ZBT9uiX50uJS21tUdu
XKMFDHqJxup7aypkXE1tTfQSykUdQWkhDLc52b5ZA0LOZWxFuNikTL5/UO+YBOUln7n/KfbAlt+G
sqyOTq4Wf89QX4BLL/vjgkYj9KyeX2ydsTURg66KB7cUpfgwZIuMw4oz50cys5dbtxlESFQD/hkd
E003tuo4aD1XN/xxDJCxzruWYxKMstrqA1pkCplbmhJtMrbWgozF71cvZqy99j1x437HiTtwSU24
oRoW+n50jOJlzguENEPcGx9VufL58knnr4Gzn+58StHvSzKKcLJkdCK+LfmqFS34I0Yz+/fX166v
iidbIZPm/48m5SI72hpa5LleNe501Vd7Tv8DSkjidFKYxtuWdN8t+MA+CbwuNW9i38CbGfQdEVI3
mBGTBDSYQWC923bKAtENiW1vLRbKgyxCr1dpdX5abDrMyu6gg2VDv+vSGCcKlhN3ZzSzj5AxJ2Cr
70qeBb/JTxmjoA1XR0Patk66pYNNAjvBVi80dYvHhMHdR6rR9sZnIPqUwRzYIa9S7gbsiHWqwIWd
iWhOPmTz6vLjkHfWGm6272aoY/LOYU9FKxxm4Fq3zmK21R74ix3kjkSpix3FXVXxy+tSjfOerDWx
Z5hpfR9d5PlhpMqyphTntMnJIEvzHXVBl1zyouZvCeKqd26NfJMYhB+Fw6BqLyOHMW+vERl9hOyN
eWiBQ9wsnR7dlhy6cRjFo7/nVGvsVJFYRLj7+b70sZEyUVv1o1OXlv6eMVj72NX2R6crENo5+ofK
n2YSABkzgoxFgQqIC1RXGRP1FraG6+6IDsP54ZlNCPO9OsVkuSPj6X1F07So71t3KR9azQKSPs/l
vZPaxokjFEd4RL7bkgb3qu/tgGzbyymx16o+N+kmjIVjPU/UFgF1G5pZyJJ8UacRsjt4JXKEq5SH
aozyXdUNnOLrbg3LjDIs0GOroWq12ltaftkdDIv8XGmwqzk/otxmOL3aW1s6OjHgvyzwKYBvCkyt
/WacdO/jsGjpbWQYZDyrLMNHCJhx5tYvDQnaFTZ20NW0U+FAZDiUQ53feVvgafobLeMocCAKUz5K
geRxOw5Gsu2TAc8RIeTL8+RADV8oMy+0P9Vp0Zsa1qAz7zkpkz1PTneNUylumO+SB2GQz1Mwiafd
QypRXyFUHFkojKAvRp3uGdmmY9TUDwnEuA+C92/hf12m7EjwhNdu3CUmbyrC26PN7uqcHf0cl9Jq
5w10jrUhfrMau3nVqFAVZvLkerG+hFPBYZp2a3YeuiwnZEml1O+ZiQjdchvibcUw7cF8VyGhIW8Y
uuWWA5p5rCPpXYj80J5y0utp/5iEYYlxytB0VkVH/JG/qHuM6fgdKupNooiWB9MdWJVat49e31cW
mXfRd5DMNDNqvqHgQg3m1Ou3iNgr55HRCt/QsaRtp+ksq8Mqiwy8mR1G1W61Z2CtjmQomDZfh9G8
Gs56oS5R06YyW15JMZCbNOqwIsk80UR1gbozX5Ci1vOmrheIlH213BL65PxAL/3/Aec/KH4Qx4h/
LJcOb2XTooH49nPF9P6bf1RMpA0x0Xt33q410e9yH8+kWoKYBbtrhUBhwv2Pcsn5DZAKg30BI42Q
Pos563/ofYAU8+NUPgxBTd36V8qlvxx1PJT8TIxAFPMqsAH/XCyh8JtiRKALRDv0jNbiovZ045c/
1ZD/k9HmX8ao60WYnwLU4n3SA/75Il09sMEIkhv7HC7B5LULbMfBC9nXuu3fX+ovhwsuZfOxeI5N
Cer8imOqy4gEx5iSYRpS2I9Fmp9NE/2oUSPJKeDEHEp06UQj05zAB1T/w+X/8nFSAMHWEh4mHm7a
rwM/fFZEUrqmPABgfzJL74Oftpu/f4frofDnwymXWItoJopM+n49nCqlzb0eGfLgGOPT5FgvIPzr
sIdJF5DN+e3vL0bp/tfLMZtD5gXOBZCezoP45xGmFQOnn6gzDjY9+FOcl0ZD0KNWnnInKk8F7kU7
GiUu51h2bHcWzUjYN2QVBGWuSkVKA315z4wNMCGZnx+xdQiahPUgUNUWBbMwdC1kMZjSABJZEm6p
ICCgAimtz2Y27uOh7b5X9lrOqU43XxAJ0z2YBSsvVivrgllcEGyfW5uewICXOVujTdx4RKxiegq0
sBQlneoi/kAjrkZGpsh5ikk+dzqiDl0HnfVAIg0R81186QdC6OISGGlN1DHkIkK1hn5Zjgjcb9Ew
DzurLL/bXnGtU/sL7riHTjFeG22/PDX69Cke6EaJlTmvOfxNst0XOlyL3OeSqkoRwuK02fhNJUIe
PcKdmxmXeypq+EEmJP+xHt3LhGEpFJobnczYevE0IzplSdqFssVQmQ4DZBFNPE1wTDazkWWXRcj4
qXOxDlMVhboYYsCqNLamMRpI/SyibQaK87ZqSfFMEBNH9HLPTkzCxnbE98gRZZxjcexQAE/UtJ54
kh4bT4JuIzQJ3LlpwDVjzG+MyCC6WCn32aYZ/iHJB3WHpI+/40PVeaqNfDgXKu0PTMKBwCoF5MWE
NXGOSokGi7kGobQy35UjNj9K0exe1jQys7EytvRazd2Q/g/2zqw5biPN2r8IjkzsuK29iiwWV5HU
DYKiJOxbAont188D2Q5b7Lb9+bvuiJmY6IjWFGsBkO97znlOLj7ZFTXwnNhGPMiJqV91IkgNr8Uk
ryEER48IK/O2TCpJXxD9aTGKFkNCstBBDbZd1E6ou3ou1S1by2s0Iuu1mf3u0SaSdFhMbGc5Wu6h
oM2A1JKb7HRXjnsGxtc4Uw7W9YToSOpZ48Fuk+BOuFG6p05anefIqG51Pm3MVk9nFhM1qmedix0N
W80rfsIoWiVujZo7OlTZBra+SsKBdtE5dm+h8u7C0GL3G3aeXAUy+kwBcUzE03ke++hEFwTLynq4
q6fsiRQX/cp9arCwo1+6azFhJzHbsl5Hwx1oZbk3rUQcJFwtilE6++jULc7FatmiicipLvQr+Sa/
aDQQUMyRuLPCZnprjUosfObyuo9SA+nMNffWGGDHzmnVIgXAIjjjHLRpRMOrYS9kSAkMwyJcBkAu
REg7jYYfvnISK9ehHwX7KAyHq5HGlzUU5mHtBgYqXy/ots8KY2XamDXtUI/rwqFI1nLz4TSbsbwe
WSHswhTGd0UoizQCTboUFb1ZofUcyJl0dNeJ+2ScxMHsrc8gAa4NGqIeskrYiGJ80qRbTuzSUQJD
2i6gDnSbkNZS8gzQj905PRttQ0yFRq8NpJ2vSeSTn4fDSZlJGPXH0KC9RxrijlTPrhur6JAaqGVV
UA/7mabHdUR30hNQF6/g9jQYm7pR1U6blfXW9oCFq7h2tyhZTR1Zj0igwbqUGW6W0uvbW23U1hv3
bf+YFINFCizO15TYYFFD0wC/YtfzTZhnTHtWWE9PlfTza25I81GCo17hUWMFO5CcRxVGIwirNdRZ
DP4iZrgs9zEPANL6ApdqtBT35oUsb9rCP+a9+ZQVMZmtUJLb8BU+Vd8gRU97W5gZ/jkKs28hstl6
btqtp037TQu7/oK3oL/UNsraymEpv+GW4F6SKR2voRrmR7cw1cHyMRxWwzy8VJCrV5yGeGURUGiy
zl0uIJJBY/o9ABLzLOHYPYbebNP+kbobyM4Si2ORUkXm5BaqTdxRPcTvS47u+LUoJuOSNYu1ty3X
mfLST07sEJQNEpJjjaKQTdojXV42dw828vlezx4DD56ABjV+7i9F6xsHlkAuyQXv3ZNW1GGa4Htn
55ISa/C9R8Z8uWdyKLbKtOmU6ifIW5lNCMQN4oOmBpr6RO0cnM5xLm4iM2T3KPrsL7bFZNrnU7z0
isTjk+TOtTExNe34kPJHC0T32hGSmjCjy8wHu3G3LmSt527K7M9j78Y3rnLnZ8qfNgy04CrSWqkb
LeuOZGPKL2/yUjzQxFUghRgbHp7fKTg0V2GjaHyPwvbI83GgvM7intGMledeEXmYzHxj5q3+9Vzx
v0P+Px3ysWhxIP3rneg5advlf+o6+emI/+u/++2I79MqwvLSlhDgfufo/HbMD2gV+XGE/9M61OKI
/Pv6U/xC2QjA4IBfDntQx/8353m4PR8ObByyA+p8fcslKsBl8eGwDeWlcbK6zY4oOPPZi+gqp4ga
1W8usJ85XSwOXeNIMsqyw+IiKWy2V31llkDWK/o96X1qVsD9TWA4mUsXdyAneGFZaNJhnNAW7E0G
ZqOafaC5atNEz1dhwhRL5KVmC4BD9xwwix/4K1FqpphV400fl/03L/UXRSFJ5p2KrQDZ2bbcexoX
vLVKaSVmEwjna+lWr6142ntAK0+VM3Lwc0vqtfkzWceFQ8niMqAXDPAzGw0N6WuCA06OK7aJyh5y
hCytHmQ4a+PkL34Hop+YLr/2kRWxxwk8QquiD6NkW+hoZLObxYbzGosAFxJtE0EXX1WdBVNvNRBV
HW4b01uWe5E/RJy1jNjfVdkko/uBIxToxqzAaZxEhSAk1YKjoCmT889R2st/M6Ks3XsZVVaXe4gk
gCqxkTord4pZU4SypSlCDj4i7lpmrozYbRRuKDxqSMroSzFP0aX3mFEqesoBv3goYiswEP7LrMeO
LYscxi0kOW+v3XnT8Z8WqB4FymnT33ikQVuqKCPrkIMuJF5rVpshDPsXld9BSc/3hSrEGS4qhLZg
V6uemrIeiO2VIuzXoFjfNnFm8oOpPbHquEsup27KLClBfCKjlr3QXpatPDpD1xaNFusuyZxvy3Pg
HjjmuKKHutmUgRHsYnrqOV4G1mvqLGc14GOUzPG0TIKSMEWYH0wp8/s4T7O7fsSBjkYZeetyaPaG
HFxyfZRBBdMj9e69WhlB0H5xlk72Iou9zUj4/ZhFbrEVA0kIT+TttqWvYk3TSU7QlTJ4bG3xngNb
8O5GGWgRFar0tqcl4y3qUebI9k3iJph8cl9dKo1Tia2wXIIb4k614GcGzLefLDPHGVObr64b1RR+
2dl7gl78yV08nYxG9g5d0j4yH1FB2Yz4/azhWxi2/tsMFGQb1BX+qj6OujfIHdt0hhRH+yNL1Xq4
6u3YueRZm++sfqbmlTt/dVAw5o70arjnsPLkK3qufyPZQjOfD90xSDOa6e0pILxbtY8txTkXrHTV
IbMK62qgG+aGQgrW7VHt3GHhlIw2dfrSlHH6yjea78dRW1eattKDLsv6Jpvt/L2OOjdkgxt5p0RZ
823jdD155cWGmdSSoA5Gg/sp7chacCrktmKNydmfGKiCWbgpSUEu+3xUIVQeP0lOJZnyi/Z1e90r
K3keW0EPnYWb41xnfXKm86t51JkeHhIOzifKT8qtMSbBa0Ua4JPq3e6qcxg1tzBo0pOYvdncySJm
DSuC8FjP47DvZhFtcDX6OzQd57vTq2Zve+70PKZ028MYOZZZXRw7JzzjISg3oeZ8NAQLmaqMjmZQ
X02OmKCVWGRObf1VlwOnsqzMDwKI7ap0CEJL2fZ7lZTeDpfBuJlHt/lSh46m4mxIdrk9ocOU9nCX
ViTK48yfMLRoZsxpmF40Vop3ioH6Oz6Q8MLQoJ+B68g1c2Kx4TrpNlUxpoeBUqc99hqKjvGyZU91
AjeRr52rxRiaXeBl9VfLACY0+wVggDEU1pbjk80YpbpbTwI+BjoyuUCHWCn6pOS/c9CGjiSoQeKn
TEY5MOVjPWb9OQ6L2xoEyA2djNGL6XP9z07Q7EYWuD0FgYk4u0kmzkGXBTcGUKy7aew5HMt2opip
kvk+yMdL3miOPZIL9aR1ZG9m2C3FOsSXekyga57qCl9Y5LtMvdoqz5oQEKsubjWATKhUgiVoNrZ8
cCe4VWuqV+kWbNzpnUob6lMHw8c2gbSUHtqpbb4AAYOXlWYnniUwxJvKZHzqk2PeOkCb0YkepUrb
+8jrvBsTq9/K0NBeV3rKmqe21AEUF28+99hT3upKQ1+TcrjPkwpQB1ePd03B7/SV9XU6rWF/Ooey
dIaTERX9Pmxlf9Oj3JzM3FxqNJrm0+A47S3L8HAz2RAcrWSM73iy1ZgfdfXF70rv+wTDE4ZRxyBH
R8xXwALpltoXEBldvSM2pa+msXU2nhTUUVf8nQz8LSFcmWH5FW3ev9UF+Il1j5iQM88YoBeRFz6F
ukT686g88Z2CPkYHyYblCFjRNuibZz8qXXdr41/8YkWRT2ZpDM9ahv5V75fGKh9ZMMeBD20mMzFc
mDzfAGV0+U1ni+BCC2RLlAg9S/stzJfK6M5hh883pTT8Zsg90lx9qZ99G1yRWaOCQuUywN+11qDv
6qj1r2cjmL6hueV6FeiEx3XAZ3yVD53xGMeO+9pwqt+PGdykFQSItFxu2rVLcjgMt53wq8uiqlLU
GpbclvppQy/wJBHKHB9nCOwLfhMDki7WNeq1ZFytORP7b5mY651IrDdbt9XZiEoEQhgzK0kT7PXQ
BTa3wcm8hUkrGOzK8/IFUqhhyf3cMUFOZbIJ0sY8a2TFY8SQt1JxWd1WmLuePKrDt3iCoLM0lbM3
3BQ+SEAyAsQv0aeM9Z5RWTUNW6K98yjgfWdhn3ckqep5o4c+eJAOrD/KKkmBgQl9dNA07HVh1PYt
wzbuIrMfg7s8Kr09NOZqPQjr2g/VwNde2AJAIeQTNnCnoDP9LRjX5hs+GbNbGROEF2obvQNMqXrd
5i11l+HU3tZzXt9m5MsOaWyah9Ei1z872AmHYQ7mfSiV98xZwHwcEZgmCpIs77tfGPq1qHxnF2b1
i9Pk3tZIgztEw5bK7Up0nDsGvz2Y3PKiVdql8QlbGiYdhAlEcnspOvUA874ntaJBnO7R4WTqceNU
PN4mlmf8NG2Symnm3IacTWmh5GGt3cxOdzCtvHRjsaVJ4WfR4W1FuiHPrj5hTy4u/dDbyIpQoPY8
78pdb+sMIx+CsZFI74BLFzel9EaeCl7yygHNBeSSork1U3jQdRoCh8sCEyOZktmRPaBc88umb6eq
wf8pe0wxmYmK4yv929uMFPW9q2iYHLCrHl0xUROUNXDHcvjf/DgCD2LJHAMWycx9JritYIbgMD1y
Ui0xwonhoacY8wl/c/6E/dzfYWue7TUEqeZSZ11wNWcup5XICY+CNG2xiuj3A2FY8QSDBBMeE90D
YaClKD2lHeREdn4y0Rwxg+pApDtqv1kFThkieBmQegiAVuNfY2zIUEEZ+h2Mbne00Fln21bTTdDA
VwmyhNLRqBlPeK/npQA+epmB16S2+xi5yUAOIrkB2S95l/apyDz5OSGxQUAzZwgPoRSuvMJ9kRij
jpPhlat+wOzQaKPd1tb8puIJIoFx59e4Z4O4dze4DgniNkCXqo4coLAMHLEOaxBGhKskl8WW/vkn
vhZrpye4gATQNasCDjdGnlwwlFl0iNuvsoU1NvYdYiey3CbLfBAfRc4Hww6RzQepf/LS9QoQL9pt
3FhgtdC6I3yasIQu8YSx11I0Qa39kTWtcEu1kwgy69kYKanLtLXBSkm03i72OFOxpSep9YpjfYQn
AmuQdMo+CB3iqC79pPjlwRjz83vDmrclsRo+FiznDrURTifHbMU5xvCL/2CwkQsVjzlko2NSezQa
td28rolOrCdbs+Op2DWX1NPtgiydLo7gzaV+Tt4Sl57bkCn91drxp6n1v6gwH11fWG5NomzguCwS
dcyHP2/y49Ce8CP7yTEtWsY6Y/SgDqFXUCWtM/fBFmXzXnOWKnlk4yf8+xdnvv1JtVheHCsdapXv
YARaqj//LCMAaFXuNNcJS65Kvc+pKq/rJI8vfhZk93//Uh81GF7Kkj7/u0y/CEEfXioBcOqOccFL
1WZTbrlGJqrWcAD9gzayYHg/vifSgTZ6EwIJboEP2hmyK0mSzIuOmjr6Xewr++iS9t3mZdLdssKh
AaEPYmB3k1281V7ERD3MUXwxwngZrsFlldu/f+v/+RV7RPmIU3lsvP4z4KZF58cdUwZQcJRgUahp
b6VLRaSNzUNuRBSr91H3fM9Shacfr/2//dE/7Y/sHwyFv94fXXhs/7Q4+vUf/L44Er84El1NYJlz
KKxdlN7fFke+/YsvURIRey06VH5gm/+w0wUe0AdoyR4XFv/sj32S/4tFcSs0cosBlB/Cv9onyY8X
Lm1nEtOew+YUbZObx88XbjgYEdsbxzligq3DjZnOGaM6PWiObfdra3JwbyBzsUBgr8MKIqTViwxK
wLD35JR+/Wq7afssiLs8R9ho/+UPnr/OFLx9/kCTCoYfl+ifApaB9hVI+sA+pr1dvTksm24bEZcL
6ZVffZPk0z6oBQiXumLL9fcXm2UuxQ4/SbH4HwmvwukQyNq29eEGwGUMA04nzTGMwpeiCQE9DToJ
zlmAoWPj1o53zZ2DNnFrKRYf7QBkc6qSz+Nczl89vTSQ1/NknaIcImJGvSlszKWrHAu+e+eRSJnW
zL7OMVxqzWVt1Ttb1KAHweaR1C3YrJMnKi6xOZH8YgqUa+E3zYRhj1CZ1jN8AJ9EAJtyEowU77jm
KxIC8gUJGwCGPpFUAi9bBbzhHptOuaumpaPd6Ja+9ojgSbzGo5yuKYUXzwbCA2lH71EzRgDsmBts
up5bl9DZIEsYkCsJDywF8ZNRhKALZmsFLYP++NkbejjVIbTbOmZdVCxN8yXjhrMylv55qoXDjbt0
0vtwoJAOBRahFbrJsi4APHrABDXtwBS6+zHA9WbYJvqIQGa/D7SR3okWTtgmBTEANky4FE94QgHs
HYPtoC2V7HpizBNgCc8lWuxH+LGaxiXMacfdo9RVDEfGG/Rx2YpBATJBT4w8KOO1tIaWmgxXih0Z
6RDEAigIzhuOW0s8l9G84NmUgHoWJebAIhF4B8kpYH01vKuDA2WbqYvT8YqR48VLJ3/LFFTeZqUa
d23UmLAyqOSFeQRfnIPgKHdorWqnOgxfU24a+9n0CZ/FZr+jOmAXdH2/4UoNACB6xf1MCBKPaKXT
05z66cZ3Ou+NnGB9gJw8b4O87uhJU9W868wuIsWTgqnA0k36cN1ThLFn3pFXoeEzXfiSSFpqwv8d
4uW06znxN3sQ/UUCkXRWrD+Kb7htFxzcTHMGcjaga3TMBhJpPzvWyvXAv2649h6Is5HTg4qlibCA
E3eHB6iqyVivGq+s+nWIGhmt0zFEa/frLvtapnGY+KtOpXtTVMPXLOuLhWkbFywz6KPoxRkqiUre
EIhzWKllb5uXtuUJNut5qduy0v5lSdJSUO2Y1dtMxEGz1NGj4qpojO69DHWag7TrGtRBHILJtgNu
ZmwrxPAzydByWrfC6+RW98acPIA/maYDIjRbcyMs0bqqUhUR1R9xVH+GncvxCR11mW8np1Qo6Jk4
4HiNeRR05bWKKYdFRbWqt7aij0RyjuanPorqOJELu5ceN81oZC8K+ykpL8Bn2FtoCnJoWw54NbW8
tynGNKzCWQ7bBrNyuwIp2T53iZvaK0U1OHuxCN9OU2GopaqifuV4SQ6pN9msB04PpDoeuJC3eAVH
Y0Ufh/4iUk52QESVw8IzHNjG12Zdvak2D5xNbeRY3pZbecA7h4yeanPbkcXBR2t0PUFqc/6UtzQr
wyUZLMD1+zGEYjZveBLI6c3RWon65EMp5P9kJFVtfkdsym2EVTkP/UsZjXnSsjt0yjc9dQU/HZah
V5Wa3ZumlfzF2EIqYzfoDkY9vZpwun0zv0xlTBIVThvsx1am453GIHuxqaBVqyT084tyckjpZQRd
ZQPVvad3yevMFRppXFxT4+uxm+Qv4Ldb1PaxRDzpQaMruGuz5YR6U7bK+8xuAw4hH04WrPMICice
EHcSKx1PvlrFjTe8VtKoKOOdUAExy1arkN53ZkKOfNnQVl9a2T3hs3aPfRCkzuJXHe60m1v5xoB9
2+/92EcrkH7CjtisYLrYThruJIftc2z1IfBUYyqvY4iaj2amR/qSY+28OySV8ahA9tpVQ7ZNzcqg
ZplY1LVNHvoqjPsYnNe8UDgbGIdj49fO1h+VvLKMnE2xac4eEJUQayPPGQqFrGDa2AHwT7SfwjPJ
mbeI47oyQdxNnVdO+3KwJu5+vZsqTDZztAaXbe/GkBt+W1jt8/8Ojj+oZP90cERcYKT464PjIjxW
Wn1UHZd/9PvhMfhFBL+zwv7kLAycX/DBmQvkgvPc72fGHy5ETMfw0Ol4JZ7xx5nR/QVMBSdQbIrC
Xwhj/0aDZEP088EI7yNLD6YvvPMWOaqPXZ0KbFejuR+eZnBHzQqbl4tfwabAG6Cfa/evIio8StGd
6j6pp/JmHthVNz7l4usy0OlWeol4SLsMK4gyx+wS86TKVq5B63PgKU4BiXXqSi0xQiR1s3H8Ebmu
CgOb3Dhl9rspxnbU50N1LSKqR1aVmV/XaG63XmX5+0IE8T70Qm+P9g4LmIx7uGmZgfdzEqsjVSPu
WbcLunFuY4PQJV1aq2LwzStvrIbPWeFOLFuo4F5bse73qbGQSMsqvK8aG/9XYgzjUYsvWTZXb2DG
/fOc4WwhJeh37I1oqRqIQmK1Gd3LEI7AovAh5GIdh5U4kiCxD5kyjfeBjdB3r06Ci5WWPg7lQn2L
RjNs1nFRy9skrvW+syx1b7f2cEozT1BoxTqBlG1qfktxGK9Th050sEcWtxaq5m8iUUZXbT0b70gz
iiVlXVHJNDflcUqalx7F7j4l37rPYr9/iuuuewiCbsQ3aczqy9Jr/wJlkNujdmDYIoSlGjR+QKWi
X/IUprpsZYqEFbMTZN6aHjX11tDZpVHLhmemGFwUusy/5EnXkX9Mup1kdf8+C51fJ0JduNE4p0x1
9Ymn3nxVh3m/Lh2cU97oky9RcIzxcmMUU3yfUfYCRRsEHJ+S5v9bYbTor1Z+NUkvXGPKc3mjmF14
YIT6WiaOcUgdEe9HLEGPNNbGz1mXsNRBTrZAAo9VtS1QJSRgcfoKYfBbGQdRfntUYNj6rO1gbte6
Ela2mmQf7mJ89vhJJzTWoSVTnc8WW0AnGIfvCcco9lTjUupY5hRj1Wlc3iauM65s8MLXESeyjTNP
emUqvzjXHSFf07AIC2XFAOce+QvuJavT6BM+GtNllR7ZX5px4HmK8ApHOMcCVNWiOMz1TIcWEFm4
rsDhbmgnD+6ikJv34OM65wC1jsmNusq5SfKgfy89KzsKBY5+SCkB2fR42fZ2GY9X80x7BN1TXfkU
VGn4YhRuZJxo+mjSbVB68iu9Ai3JHDHo+55HaYhlL5OvHRo/ZqOy0XdSl81nNQkTW9wg3zLg8SBw
p266b2k79w82sF9iTj5rzMScOKMUFgJW2MUxa/1QWp+sXsRXTG/2FwDCZEmR0Kdo7UEiONRR6X9O
PeGdMwdXGHJwFjzOtB7QBUB5De5Tug/yDRpEtfPjsnijXCx4wq3wxRBDzSSmrDO5nOmbQzaG/bSU
VbkN/bB8SSPdynWuUkidSFPqtfNARq8w5tRHvFfdBlA+S1qcQcF1bI4wsDt1h2hOHgbYWbdVWETX
HBDsrU/zHaMN4j1poJbocZ1sbCYCElZdc8oq6Z0c0S64QnywfA4ofpXW3NFAq3trgzF13+d2cm/2
hrOvEpGNGyPoQpt4jxKvJsPFdra5mfamYC4M4BaliCJ1fowmq7nhgEHDXlBZ3b3yE5sP1itSUG0p
42AjO4umIZwdDKojNRa+MdSfcRbUimYb1vqNoPobt+vUXmzip++V45ER46jVI5pMBjeXGV9uhSSg
6FSx+53hx81nd5iGbw3EhVemRnm22PoXW6JdjFqWM6mQ2dFqWMIGYbbxzboAeD5AdiM6bK7xLj4Q
+ak37P+GK+WqZF1Qab9xS+9k11O36csSm0Lc5uxTk/CYgoTcVtJu9qMoHlF49L5VrIsTlmGw0BWt
9YRUppISlN7dNoTMvs5WD7Cxl26zIVOGP6CKe3OVC59UjZB5r6/svHHLjuKXoU6eZyOClzyxSc7E
iw/EErR4rLCzdC+aZqn0Eo7o2qSc3YtMh3BHmEPdu0Uu7lnCRLfcFgEY+tl8ZP/7CbBked8QULzX
EhTRSiRp+In8ffkCYcUHPI+Qf4ppNfzEdoBjVztwWflJXd5yWC9uWe+g6EWFs5gqbJiJlLPA7KZS
gb4ebts87dZjMSU32gw05QZeg4DSFsVNGgj+XDczdrLNgTq3dEFyqeM8WknVutcNScLLPHbm2XHK
ECr03IUPtq/cI0mt4RE2rE9vYA9t15qN6VJikyz2ndFU1D1O4Q2gjfqBBhvvSPhIvFP0MR+HSTn7
sWs058Nm/oyiM1Y4DI35EMmcaDogjRXVJ3rbdKEG/OlwP4JBNV+Z3ewd4wQRrxiwAudawRQ0rUtY
wbrgJpuF98McLi0o5pl0cFSty9n2uNZ0dRvNXrJfPs9HVY3yOkhn7BS24e3TRuEnzPoeQLY5UNUV
zPHXsLOTQ0JK0wBuMNa8juim04QQf2dmathDvwiOvdTtJxVWxS2mkP7A9eROK0pSFTZDHOt8RVGf
0Eo4iQ3Degwd2wqaOzAtjDGEc4L1EgpgvMeYmza5fYFcHZ5nLxiPLQ9GygHN4aYM/HdRJcG7bC2z
4lDuNC8JFQGfBVGwY1sZ9Z4OW8NH8uFWw88v5iFNMgpWkBDeLunT7JZmleFz7XnDJuuk+2pWiX8x
p5IrL15umpTbm8l+HgaHvY4yzeoBgtNLYpYRd+yYJPVV0zaaRVHpmzGegSF4TYwwe2A12Ta3rsIJ
d7C8oKFuxXUzZ12kshHXpgsfnjIKWYqGGSFOCESVAZ98Zc6wIZtos1h6p50Vu96uDlxvHZclXpIU
w/IsTTqVOpW3xUF3Rvzi1JaTYJDlEod7kmHsVANNWUQP3QVrfJZyRPPZVxHoWH3iJ2tCi/GYgoz2
rQnnV469QCiZv9/TfjQ/BXSMPcomqk9Nkzw2pTdtC6spjl7TshTTPfWb1Xjv5gQWQ/3dTuK3tHNf
PTZ1X6yq5QQB3Ja5xtGvXmCkB9fz89tG5tvBLoxrvhzqLVWdYSTpmu/WzDRGKrfJcGY0uGLJCib5
QSEi3VnOQOBMaztuVrWi5OTRd7XaFrM538Uor9AeqsHBFv2/6en/ZXpiqlhaBP96evr0DfJN2f15
8/7bv/k9lSV/scEWIdYL+WOF/sfm3aPfEGmHechmXiLGwyv9PkX9YE8S2jI9sIVIaQxYvzk5bfMX
5BfJ9MTgI8E0ef9mivogY5n4OPGEEpW3eBHb/lhp7EuCJwmS/IHGBJKPMdRvVpzWrz+fvyQGflSM
IBTyiIQVyNQn+CQ+rrARg0yLuMhBpyX7qF5QK++PYUVfG62rhcv6KmfTqzbkC+vXP30f/0WQ/Nj6
uOARLXbnODX52Dw+7J+1BVB9tMvAgTlElDZCMFYUIvYjaEayu9l9yo3jLQqKOli1ZWJt2nlKvo0G
BsEttmprk9N2DEEkTfZd7+drC/IbHJ0qvrR+WsIdypFbu0nV2zaKiNa3HpZBIgib/483gRgeENYD
ZkGk4uc3IZRdQ52h4KeZWQSNNutWIP/2MfGG6amxEB9CmXnW1oDgwrlnrF8HZAusEdG0PN8DuIEl
1tqqpSlH9HOyZ+0+73ofg98Y9Bm4mEE+FonudlM5d9AKizLZ//17+KjxLN+DT4U2WpGPPe5jT3xr
WxxxPPwkiQUxSeE2RXVHO/QAZ//9Ky3a60+KyfJKPgZYWJw+SNUPH5bTy5bhlVfqYcscpq7hy3P9
5kSjZnMnnOifSuk/XEQ/fmEB4oxt8hNHGuU6/rPsbEqYc4WR83pRou64o7SU07In/vt39V8+P1vI
pSrVt2ghtz8QJwKes36Oae2gzCEBip5+r60gOWTtPwEzzf9yuTomNGeAA9wX/uOmkEbwF5jQ/YPJ
+fM4ey2pEh4t+2lBEk6FxWJaxi5Zi6rL7qcekliduxnddvhlY9LBV4XjNHeK2Bmu6p6YFvw0AVGO
wP4hWlS9CsjVPuG3+UQ3OGtxC+ONsYpSntBE/HiRsV6CE75JB4fpts+DOyeHv/80f0XP/vQrIYwK
F4dsLLIadfXLeulPqt6yVdbxrMbDkJJ8KJYMhLekIajRy3Bfk5BwiUqQ9SYzsaQn+PGmBzImetfL
JVuxpCzqH4GLjugFh3zxLOHY3DjBZH/2loQGcKKtkoP5IINisQQPOXUiLqsBU2Q4ltnKb9DRxye8
JOamXFIgGYA7UNKfuZ1lB5d5kI5r0zn0S3qEp0t8KEjpbLGYJwcDdOG6WvImMejTfWtV/iP0oPRI
p3mxKWUDzhx203vMg2ddAAQ4Egkig0NPG+PdTL6lWJIufeg627o3bcibNfhN7RKJ6WSEyVdV2aeO
wEy+JGfKJUPjBDUWxom52l8SNlHWWXsntIndpG6M4SWr3Y2xpHKoVhOPtW6LZ8oss+81LrqRXuqA
KE+A7Q2uFksO9I54fPHQCjfekv9ZvPzHdMkEwQpwL+6SE+r8BBCCVSTDhQxd86Wk9fRNEC0yloxR
TNjIWFJHNNcZGwrrUAg9dSoKoAO5Kxtqz4Pj2BvlTRXWeJrHciDQhMS4wl+0Bz9wvXyemyrH28a+
0li1SyZKktNzYhgG9hiLxWxdXNtLhsr4EaeSqF43EhAg3sYlbyV4vsAqIYPFtt0/6tm23lTotrfk
ltry2AkN195rrcfM3pVLogvuC8zcxrLeqiXvlTGrbqx69GklNEv1VE6tplwI3zGM0qUOhtzYQIAs
jq07MyS/yb2tP3Z5NRE5wIyFjdD8aim+c+XK+m5S+TkJSVkjlGaMtbne6CW9FsO/XSsBvc2Eryci
hvc0GKOHMo3OlJp9jpccXLwk4sIlG5cq93nqsjcTWv5mwKCH3Y0kHR5nf2cpJa+9UQ9QPkjcMTOS
vRNWtNIpJ/puSeZxyI25RZHWk0tzjw0H6spYsnwZjSXracn30dM08ceQ+YuJSa3J1hIEVD9CgTyM
vA2PoWyXYO4lNDgkyUZHJAlVS9WnM1Py1S05Q4VB9i0dWoFY03oopz8iicJM68v8I6goW0lmcZL2
MQZQdpBLotGruFxcgyQjDP7GnCkZgBQSr2JK7CAoxhRsirR8V70dvaSh1F9dr51erF4Np8L3+2PW
B4S/otq+VpRN7emQxCIbiv6osa5djCmjoCafpsgCCeG18lgmgTc3G9lgyCtYSa9GYx6f7F6UO0uY
8VHQF7a184r82YTkHlgQytgnlNcJpJ1VKcC6ORX/MaVssd7QFN+cWONkGxdLL1ZRnzrWVmQkHfvp
OybioboRU5RvwsWRMPdoSwrg5qY2QUIkEU8OOaMxm0LXW9EP5pZ3rE7gRUyCumycsZ9PV0BR2uc5
GOyLyYV683/sncmS3Ea2bX/l2ptDBgcc3eBOgOgzIvtkJjmBkUkSfefo8fVvIUiqJJnVrdJco5JZ
WbIJBuDHz957bdzaDRC9sIM5o9fV8A1/wbhhm7zQcpyq99iZIoArifPhqkyyThXPms58kVfgCmHU
MJ0MjHxVheJuR5QWbEJ65hq/F3g1JkLCj3kkmze4f9kGn+0ITJC5ULPIReQZkNsR6Mmujrz+Q9W1
+bFJoJQuRGAOeQpaLmUf6BOShABED9NpAZNymGezvjXjhT5i9jb7eTQdEdgm/sW0okDTUwN/8yyJ
7zy9GDdWbxqsDth9gBOM7hanRgkFh8PPGF6OjGrb5JoVdNIx6z1WaAMAwFAjTON3dDVge8xSa0sv
iHUneDFwbYVmWgMsPFAblgeeQwMhs4oV1NgcfeZIdRq4AkKwiefvzMDDh2RQvNcrozmlM0tGdlvS
2Au9aPZhqVlcbCvtceY3iK8MTn8JHcivFgrEpxESJ3xdG+qs7pAMRj/rH5UOkxbAkngjdH/TwnYi
6dRU+5a+4NFnXjRvrEnfdw0vBYF3HtjKir5dIbhQe20iOilC4IrJregrE6FmBGPXJb6VwSxENrlX
YekNeBEiUgv1it3l43eydyXdJj6rtgDNm84WQMKpxJvRFYAbFUbf8OyFBYK9nGZc62wHZHw7jcZU
LMfr8f6PT+w/yn0wO/4wCa0FRT+Lh9YGpP/9fxduq5/Lz3+8sAJtWH/m54X1Wg+EzQl6HrS01Sv2
u1WMtp7f9NVFZnJdXYH+f7iwohHq+mow+1GjsM7cvy6sEiibtAheGGh1Npfdv3VhXa1qf5zuAQrC
LMHdudqiYM//1StWU69mhKgPd07NrojGrQK6whgblM80djbzfs/MctdnEWRsVrf1JTIAxOY0Qn1t
QwqkSdkVoJhcff22x0tDVRrxDPt9UYa35drjSl/SXHKuuJDmr8kimzNNM/rXFFAgTKY+o0+EO5oz
r1v7wdwnml29OF3nGEcMJMNwmsxEjReFk3cbdxmGbbK0ZP5nO7vU2EkD0Ye80mftrAMuBThRuxEt
YuVibKj4+jQgPbFWjCluwww3Iz244ptt6T3tktDrd56LI2xLQpEzXtpxcskHJlfCEM5BUz3Es6pI
aeBKyulhaLS9gcFiUxne61hOJl0peUfvZ1StfyrKfV8ni/2V2ZsUD8/TOfYEkbG1YVcIGvpE2G16
hiPCQI6peJpFiaUUM7xqMTeHVIr5/MvzKetLj1ZoJNZJpkt739Zjat/gD7Pe+UTmmwz2RqieF7te
jp2SrSZvHBVN2AyU8Gs52lO9V24d51tcDiNFOjJPZL5WDiIklzsIGAWus1HGcWceUpIwFeCGNquH
3rkhpFhS1hpw0guDoGKc9Sk7aQ/krDEcBZ1HHsCI0UsTm8YlNFDoIJGrOU7NkYj7ezAN8di283RP
u6k2fUWGqteQuWi/z6FOMubWAGpRiCcAy2LHhtLhUK6Rdd/qMe/XbJQ3nEec4yebtmU+KJWFMbWe
fXpMqH40tyrPHlCC1FZPkDvCOBvvWl7xbOuTlK8l3ZebGRYlphwhTi5dT9sIxtRuSZJsv+4ZRFJP
j53dy4RC19wA5MEAzUzeRSfXRUcKpMmnHRipGx5IE0Lty/FLHotJVzsWgu3nyqjzd6NrhIkRvLWp
qmzWEKKLpwWSbLqy2PHHnVoT7po0oxzfe5KKgyz7T3Eqhy5YKmndUzVEprSSdfQpUlK/iVJZ7IrJ
0miwkuXG4be7EAGtGS/E9FBWnVirTpFBpAgdv2hcsGQZ956btWKcpkBirMgydnkcRh3dsAtTNvhd
Ls+2my4nZAOq/qDFb7KeVSrYQpK4dGb3eXRrx6jom17aZ91x2rd4ysJPLLG9HXC6ARnUlNusAbPW
C6d+AQ9/a5WO9bB+s+8Iw+obJGx2O424LCkKKFtmSLVmDTE3qRF9pVnr3ytBcVFlZdFbVCfLjWrk
eK6Auh1a2MJ0RdnRPk2HbB8mOPeoRmi/GiNOpdpW3lMkNbK33ODP2Bg/LIZ+V5pQlx26pM/ZMlg4
0htk4rQduR9WKzKOWZ9mcdP4WFgzecB+Xio83BjOHm1DQpAoW/O75ri0/1ItEO+yJe2OfZe/w1vy
ApUQ/9xo/dx4fjbY8qk2xykODGeo3qU7R890E0c6IWtlfaFsN9mXXtvya9TakeymEZhmjSmiH/Lj
qNPBnVFKFriwNrbhkAJRLyP3MIHg9ccaIpnf27RyAokTfNHxT90IL+6fGSApPuTzeYbi+8DXmn5q
Yz57I7YGKwu9g+bENQs/s3FOrtISatZk7n6d6Gi793I3OQxhVX5lqvA2uc6u3q8LXbe3cyV1f9bF
MbTTRyYIFxw5zeQZ3+4nLFJ14YtxNg5eb4YMJ1Q96gjr82RFju84TQLjni06QTzzU5VHK/Sn1zbT
KGS6YeK0PlrgtjemqJfHCqcHeD41vtL5S04Bau0Fzy3S/OBM79pUUkFvmN13KtHApVuQYeA840vD
gf1mlEtxtwj8E8PkLvdzaVU7kUfdvaFUjetx1J/IBC0ZwUOVNbuqaqNtWzX6Z7fu1UZOffWYSpB2
tM3HZhCnveZLgjPfKRPVD+VQOh9NJCwAG3y1tvSG5UHczQOI7Qh8fMlAfXTh6/iOO9gXo2ES5Yk0
SQPRuYa1tr6hJiM+VZ6qURvoE+0aHeVy9uL5WzKr7skaItiiDQTJTavPObIcq7MgnBrbF4IczqLm
uQ+k0XwrisTcEqvgMo778QKbkSuh2ajzUlbjQw4dlIChdwHla0FimpM4PIIQwnOmC+4+CPyf8nYw
ningqi9O7c5P+ihaMpSQFR+lN+FtcUl10hKRkNoL5RgMcaLfqaHOXgvyfa9YitU9bbPhhzoLk5t+
aib4dO7yIpSc6eWq0v1M++Q2ZN2Ha7dsgTLxtyW8R1yqO1IKNsAhd/oX9l2EpBPZlhuN8CDGNDrv
MATo97CPaFF1EORP5UilHMiYcb6hVK7IaE4QxpYiQpPPsRvf5ETDmzXE9n6e8I8GMGCWk0iE/W7w
69M3EZbJfdQh4Nmp7r3Oi9UedLlw0LslThS/jdpkRwDWPjsQISCZDMzw0JyA8ECHTOTGHadz31Rq
R8y8L3+wkf8Zjv/TcIzEwjT779Wc+29luR6+n8vkzxPyjx/8JenI36DLEZrA+Lbif91/STrumrMg
2OsZP/ISq/vtl6Rj/MaGzmbpSKMZNDyLkfvnhGxSQkYdJjVjrkApWkfaXwWjPwUOukn/rdhC4unP
EzL9TCs02eHyLAl2cAz8ebOZ454Ew6HPB8sps3nTiwrnupWvs0zIE7z1jFSYAU+0KnZjZ3NyGK1S
RzpJ8KAvDaypIM51utObtsutTUwWitUY90rMze/10IV340rWLGahb2RCCY+/UMrBDlVroQ6ImaC2
nRu1r5ktDnZnmevON+KQJ0il8QJvwag+qHZWpzmF80nGRKeDYVleQgxKa4rIibfqCgeNV05olK3I
UP2KDxXTShK9QkWzK2C0usJG9ZU7WvRTuOnj8pA4S/JNW+mkI/6py8TPvFlzlfYbQBHyTH4OpKm4
4k0dCCFEuFfqabXyTymKym8GIqt3SRV3l2HlpIqVmBrqIfDUqoOjSnwgA94VpUMAaYI3LuYz2p3Y
h9NPTx0CFSNgN1c2q6v4mME7AWwF9amvqAISoCvP1TAguxoen7xMoL2SmS3uu5UA260sWKSR6j4l
dXIXX1Gxw0qNZY9dU3MBSTYbYzABRFa6YLV24ZuK9O3s2MwSCg5cip9Nf0UJ6859Jd9aK+qeBOAj
d0+MBYytoaURtPseum3J1f/DlGfGDj4TlkWY0WBwyUlfAKRBfjP1LED+XDByDO2jY1NtsLWvPP6V
zN+ujH4JrN8Z7ouV3d+yp9kzbdzLfiV5tBWMf6G1/Uexcv8VVqy7oU2twKMYQGvdLrCuXQFra4C5
9gfQt8WCoE7LB7wT8gI86TUZpb2ByJVtALTOJJxpI5h7eglszSoOI1UFeiW6IMvS9BGmjH5HXNTZ
hBPdBhi1QW3jTS/kSPFYr1eb8NqH4K3VCCmRy12/1iV44/guQk/bVddGhXgtV+BLjlq/Fi60a/XC
knscfkAXmT4MiX/Ieqj4tgUgd27YM8Y+q3Q233H7thRMyQtRbraaFD1Ya+XDuJY/RD3mJ9FTJJMP
VENIh0RfvdZFWHldX2buzyfHbWlo1qiVUGIagvxaNTE0fG+u/RPTWkVRY9in+jSmM/baVEEyCB/2
Wl8xr0UWCFAE8/e2LGYqLly2bAmhfTGucRKxSKow0h/FGNy51pqMWaPB6skwMmt8slobtRl7TBaL
D4JBP93qVprc2Ep3Hoj8hfHrJBe2kb1Ic0Kw3lqTleOX5Pcfkls4lwYhLRAkfk791BCo0IxBDopK
s94wbpTpcawMIPt5taQjcGd9keWevZYanoYkkSPs8muYI7omOzI0zfRjlnVqKTeY8Epn8WOrNYK5
plccTyHxHtJHSRR9LEQSsYKPBRljUv8FdRFjBUV4gg8c0e6bTPz13XGGg5NjcnW3NGx0WYQw6MqP
fYUm8O5kHmwcOo2ARw9+3nfViYyFiZmyDBE5+B8b7wx2V0sr/Vinieq5zLD6BXpjsi4zOmWQWtPE
tP1njfXf+C6QMtcmzn9/Ut9++6I+t9mfT+kfP/TzlMadvkJtWdhyPPHFXX+9n5HH64rLYrtluxzD
V3PFr0PaZI1FBM+1cbY7nFlIy7/WWPrfOpTdVQT+g9xI9QYgT+RbbHUmM+VaTfBHuTGnHwp3Wzyc
zWLxhhi7NoIu854pm5RAxuAkcoYik6y+OK4qWOSy1S1nrb65dnXQ5YWLma7kj39Rq8MObIJ9nq62
u2514BlXM55hKm1XLkn/BmyvoMbJwbZHXKcn1+Umt8bq6suuBr969fqhzLWBNVvmbbc6AcPVE6gP
boHVUC/vu9Ux6F3Ng8nqI1TzOJ6IzGAunFafod6M4YdejzUDX33lPeaxWzwqowNYhEexdQVuxdW3
aDfW8ogdUj1CHAh3nK8YBOkq22qj2Z0y2nkCiH8ZLSs8QTKWDq5oIErPPZWFnx2naA4JhFc4Kgsd
iQ337XuKyuNX+rN7HsEqrTdmNBg7L3bY01hN/GhNdroddDkwVet0a6to5D7etC9k53mzsypyuOqz
+wl0+H7PZdcDNRXTl2yaiLiYQ8a4rg3JuUlKIgFlbbWfknLhgG34N3zJs7S4dcchhtAXLydVSIGN
k+3cJh9cJ0jLDJdFGmrJPTGp9KDl0d3IAbVz0inbLLGVBi2C9EEfKy7+cdmfS00kt7EoIGl2xTg/
cYfpdxn+46DDIXrnqqk9UBVWXpxGH89cXeaDK2zzM2yz6pR6onuC4ZujwkGW2JYGcbdVFXSPBJH6
y4K3btcIR9uUYV4+aJ1uPnWz7D6anpF/n0EKPBtDn2xsVpWADi3t1kycXcQR/MZnhQuYmLfH5cgt
3kwiYTvh1uWm5FYFFSxb9qxvtK1mqgnzdtvegSSpzunUTYFnDklD1GmGpMng5b2bZoplvVFI0z65
zRJSQx5nW8ke4KFsGXJ822to0QiLxS/0ati5LbFFTNCfB2Nwb0pgPHvsEfWtVLBae5QxlmYL3Y1t
NO0moXnTdmBNda4XKQ95VLsHLrv5t7SM0nsmREq/s2i5yyClkBi0Qu3dJacBLDVqwQY3o51PPkmX
/qZMbIebRhyfEjbAiM9hyrGcW28J2u8rga7pbHuZTlFa218Sp+aUgNM6PKi19Lm59j9r1ypoK4me
PbA2d2siiwVntB/W6uhEbzsM2GxxM8ukWbq/tkyLtXAaoQ8MfbzWUNvXRup2hMvvJ2tRtblWVuMQ
oiXj2mPtXjutuauzjwaNUnzgNVKzgQDIVZJS3eIop89Kq/ULOhB8DNhcWBXX8mxQGs1dsRZqq5hq
bXst2c6x7mc+z/b02l5buCe3n59wZ9LNDS5eg8lPYTeboOLUL5gqGfbXRu9Ba6xhRymHfpeGphAB
sbu1/xsaywdHlKB/mBrDOpBNE/ImSeDVLEX1Nb92iTN+TRdzWRvGwbolaHMzxeOwmOnsTHFChSz3
qSY3ry3ly7WxnJFsKQB/1dODsVaaq2u7eVQbiqrznGiePl0Ad1970M0ftejsEIAtrwDitTJ90vtW
fwp/lKlHTlF3j90asDlUwIKT8rTURkv0DVBxMdUbSTPR+KTSKXLfZcRmtwxiJ9dH66UY0rFxtsTg
tGyn9X2Xfp0RJEQG504oxcHF4fbPjf0/3dhNsbqp/q85YPyfy7cpef8z/ODHj/2uaK2nOgF60wN3
Tx81h/rvkwC6FagQoJoGChUZ+9/v66azjgK4kF30sb90CVEzxIPG9CA4zcmg/S34gfUX+5juefz2
GNUwdKI/gJT/82TQIHcsY1SmZ2X0yfxZsm5H95dOJ7c6eLXV/zJyJ58xzlVtoR3XKdpSAY6m8lCN
iY6ZoZ2/KohGvBD12gomnqPlZipt5xtwW/opOS3V0hxKaMwoANT8jbN8AhyzuH3kIzgZbLBzyIeQ
neeId+A2W5Y09u70ROuch6HqsW5t6RVU9fxkliqEHDMOHUF4c8wTovdSI8Os4kovi1NC7iOYXIcY
w8BCe2GjtVjZFJ+xYje1+xQbNAuyYSAhiPgvCtlh+oJ3VQAYhFAhti6nWq6/Jo3TLf2eYLZrFASn
i1K/SUSCW2PRm/dYa9XOaer53jLykrzLPKb8qD1ry6e6BNJ0+ecB/K8G8bW1/f96AO+y/DNrmD8P
4j9+6NcgLrE5C8S+X3svvv+/P37rk2nb9OAZ1+eI/+vnJH59/Gzs0TyTa+b016rMpOTCwvmM9MHC
DC/k35nKecD+PJULnfEfyya+WscQAH3+YhVVQ+aWE06xk+w0ThqZ77p46ADwdy4mtjKujpYXcefr
eFh4LJTday9xZ6U8LraBEjhpCg48uzQvCfcanFj1jBST3+B1StL7DhbUJ9phnI/WYpenWLBd6sbU
YBGF2blBAixOOKDAMGcey/khxeVTN1r1EaNYBTKgr5c9W7Z9NFIPFS2xUe+KYVTex4F6UfeAhB35
qmtm+20Yp969nw3LgcufxGcC3Lw+TJ450kqMQmAN1lREfw1IVDj7ol29hlHPHXnFLtppeaHLgJB4
Ek+kUBPXHG+BAbIB3eESXOrbihQxdICpVQ5lNXMqwwNYKsa+bYGcQVNDyfsNRREtwTMsZDv00lvX
IA0x+mHO5wlibC76sQlCLM7AwBiFYHazFdTfxzFvIYZlcWJhEMrQW3kllGlFE2fRKzJCvt2X1Jrj
F9EKFvoeOFc/dpdGstZM4YEFmT1EZR3QC2TETka3GdDR9OsSYsGzGKIh81l44ahToCSCS8HeyKZQ
3dIaph31EWFBRz31wbqB46WnwU/buDzGmjbsI6s2njIaKxPfbHVqe5mkHkQ+WjsbL+RntGIKDvI+
D+ZsjqnLaqlyoPj6jMxl7qtWFkdMsv0+KwfYlE1Z2T7unv7oDhOpkZiagqKsNqYdR3eW4ZWIHvm0
sZk0EC/AXaQ2Psx2AYirirF4xQoEIy8Lc9dfqLe8y1P7JauK6MGMmvZ+jAfnAdlq+BjTWgWXlE4H
VcfTA9+HajcPVQJYYQrvc6OaUbrq1dPT9/iYHHYXo0icW8/Lwg8xmdLDFNvanTaF5IOI6nm7wVHm
OcS6utdSLVk2Apl7/lA3Lli7MLdfGluUT4joGUvgMI6mADqwOQUo3s4UVDPdFqUybEKmXVtsySN2
xxG+y37Ms+gDKyPzxlvQCIkKW+Oz9EQLUqamy37TM4B/F+wAGcOdhUE7qjDmZ0aFJ58THVQ08S41
Ws8pjQJt2ksTAXdyzuvCEYRgQpsutVj9cNdHkXFD5Kc6SAk/pUtn/q37vFUPAF9KttFTid/Sqb/g
BHwVDesruszdE//SxZYCMxnMbU3Ees6nB7yd8amUk3qOMDS/9eZSFGuLk/GeVkq/0ZYSEkTTmM5p
zCdvJ9P6GzUk4UFY9EChVlMzFTrpk5e5/RtA2/x1hs/xao5dsjpY3Oy14cjHfcETZmud2usOi3PP
GbtdUuOqqBD7qeXL96jihOe80jqNUwvTvySXzc4dGjLZwSTzF4szHIqMntyXYTrRqlCDKiHwZPIt
hskdE2jP/YQK2I3UmnlbjT0xvpBLLp9Lh4aax0Gk6QGX3/FU6V65QXk1Pki6Xe86Tb0ki3pKa835
Olk4cnzdW29wFkY7KzDYQj87KpU3BfflM8vc2gfQFG6cJDp6snUu86gos6369mlBht5YSq/e7V53
/Xpcqnsz9JYvzZpN94XGtcwrxhrHQSRfolhagd1QX7WCs2fypl50kYboP3YWF1yUXoh7hY4VWYgF
/Is69UkdfW7NOPmWj0wp7dCcjT4ct5Y9Tpt46NFwAcMcTM0xXH8ax/lsTCttObOxAnedofHEyVi/
Fc2k7RRwDsrJgYg+ZGlLwrnuhLfNkUBuhzbB15yHq9M9Jmw4HQzucY/VKFsX4OtoPiGcuF+ykaSA
3yc9nc7Y+QHNhvH8KLXQxWFQWp97S1U3nk2XGxE4wXsOAXu6j0RJvTe0IBobRoCdDhrU88xu/dbB
FTn7UU/2Fq87NvU2iY/0NhIjrIHSnVex5Za8XcZX1IKfrU/vDWfeoxjt+RhpYRvwi9I5meJ8h+ju
4QmU01nr1t4/t+bWUynre6XJr0ndGGfhDC1adcONjeLubaOwsCQFMi+eA/fimVl2RoqFJJIu7zEe
RPYlEEDkNL1Uunri7qYHrlAxDFEANAkdhrsEMtleh1r70AhVbTXbQAeX7dgeIi2+zbMh2sk+CTeq
VIKZ0JL7lNXEjuf9PV1K97Ex6DWO4Yw8R47gDRKr+jSmGS0MmOHzCwxvwCJtOeCL06MD0ISZTEIB
5Fhiynngm4tXXvfG+wT8/NdmajWqLWqRM/ZI90Nkh/LEn5A+FvwPuO1rvIt5ZhX3RahZu9yYq6Ng
FRLogMg2c6snZw2wNSj5stp3/dRvZD91H/ECkN13K5CWTvapa8WXtKkz8I3Gch7GIuL+3o7xPd7J
Ai9OBfahwE0/m1P7XbCL2vZi7p9STAtbiM4050aAsxDr3A27vvApIe5yCzus24+e2fCnwOhC94op
AIB7yMqU/riBpmLtOPY3pNXjwCrHL0qX+Sfi/v0uovTua0G79xa8LP+urvspdvNvCurskSCxE+hO
RueJxX9BqfT8GZMfiYROP+ppLjdDIowdre7ivNRa+u6lLoGjPNb29FpiZmjD/CHtctDGUPx3dZc2
x56BZNtT33QwASMDXmDy0ka4t5kRDzdJUUH0zyeIG53QtI0+U6M44Tremk5bvnfWmAT82Z+p0BFB
P8f2YcS8GiTWZZFjfSjpn8ak7Bm7SljvjV4/9IAj/JJFHjb0Zc8rWsNIp70J9q1+HFPOk0AA8e0c
y0mmV7dOrR4cnW75tiHhWuD1wwawIqceXfo3TtQdRLsSz55PfyERkaQ04ALEp3bJox0a4cUsNO3R
a/Hv53bvHaCMRxt46w+0G97PFAXuaNgk4ltpWA/ymZrXXmzY9Ob7ls3ZpltYrsmocn0r7ukTGUwa
0zXHvNO6yfB5tzvPnSQWs6RUtniW+AY4lf7MOS38pAAhYCS1xUGWxZwHZv8wGsJ7T4q5QWDl6wcO
+WBPQwm6FTOP1+EDG6w1p+vV/XEqlEejWEQQJ1ncU9HND3lifYLI8fLPXeq/uUuZXGi5yfz7ZcYz
9oNvbfvt2x/duT9/6udlyqXmw3L+FQr9eZHydMQOy+TOgS0Bb9lqSfh1kbJ/s8mJ4gIwWDOsMdN/
XabkbyQyWTWz5LD+NpCHWOufL1PS5SIFdZWUGhsVqvb+cplygPRr8WiVR40Fuqj3A/SadNjiggJ4
z9feFb6gDX08dwZBoKLl/MYDZO6JXTmHppCJH1ohAyK3GHHbUgn3PGV6trUTHcp7ZNMtNipzW0T2
9FawCORdR03KZy8qxdGodarJPGsMmjiSW/yZYPbr7jiYbbQHIxdtkCSaQPBkBFBI+v086DoxFd5A
zP1Tu7NijG95SSDST+fqTTLbfi4xsh97GjPhfts7sp3ORifeEgxpEt3BNnUP5ZyQ5orZdPtDK1EW
UAOrt1j0zd4A8naix4nqq4jR90voOnXsT0WNy6pQUXSpYBG+ZGnnIuIs+mM/KkJgOeuWXngXcM3N
xi0oCMJqxsRhZtSskTPnVdFgOUx1tVcOAPMxgXnMIPhQ1RWTMFjBHa4rVjKsbO5KxztFpKusasru
ydzgEwux14l5dLfAICu/pzHuSa1+yLGReoAiK8EcTO2xbxftEGqLOEmKS055S2aCVsUliDXK5lqE
0EtjE5jZNq62uq9HQgJJLbcG9+xzhMV/L2tR7IwGqoC+tMsDCbP24gAB8LPeeLanYnqfEVC37ciM
GjpZ+7BkuDLY0eY7u684EOqJsShJnS99OLGBnj/BQGj3ojbTQz9ElIoZXvhhcJNqx17c/uomeL8v
/WyklwhbAcdYjQ1ymrpi6xb5sEli1z20QLd3jW1gbdBXPxe8Tz9ygejTXut9gaY8fmdN7O0WNCMX
JnVRbnlu5IOcxzY/z2n9wks5fYHzPH8m/UGErVws/UK78nDjahwHVaHzj5x4cb2tI5I5dDNTcrdk
7inEk3ZniqG65KN4iRnGoauj/R0gTWQPU9XQI1PSkWXwFr6RDTEfmEoyVUEitMI59BqrwZ1qcZBC
6pEZ00M/jScbHGpaGoOH52Atfpa1GxhgChCqKqM4zD2483LxQA/gJNWxDRs0GppsE4xN2gD1aQVg
iclYintNsw4e2r9PgLO5KNv4XOWNE54bM5/iGyaiVxv8yWPBMQ3LUWjHNullaOzzzoQK5Q/eWHrv
i5ybZAsaaLlbhgkjeG+4xTsu6HA54yfmAt/1LxYXzHskxFj12xzSpwxb6D+qF1vYKN5prBwD6GPY
0oJXx3b9WE9akY5BMg/RoZZOpl6MfJSAa4hvl11M37BTOSeWBm6rbQqLVu07XpR87sVAfzbm0dJe
Z6ZQpz+3GbtAr7XoFkQSvZmQnY1GbVtrFg/l5PXh1zRs0EPXEgXecLghpcYStq+e+OZa7BU8Nhi+
p6TIKFvLk9rXOy/9grd31g5uOcBetCoyuj7lC3iUh14BswunuJeXEQ3iAyxx63MGTpdvig608Cji
jutC2YzTPXRQ+XWWOBP2uLSG+kARj1NuBvyymc9NIPS2xO34LRk0uBzg7xbPZoShJaDThescCKJk
z7uP35FEGhcHtMci3lAulnLhowWH3gMsGpUdzH0Tm90NW2BLp9J34MB3Jidi2Vzad9MANcxa+WG6
ng9wgyw+48AW4fycr3AyxbJZXUHyXLIKb9yzrbUvpSebY5Z4PPeTFa55WeyTRm9SGiSMeE9jnbuv
VjRaCSNtudLSlLAq1M+1ubGunV01dnDVGLodHqorb61f0WsdONmTC40N40W6PqvIsYL461ZFlant
WPRisM3pkbYNnDqBOVraSnArb6EaYkMeHPsWg9vwEQYiVDjD9G5YnNFHjgq5ySYZ7TvVLcS1lz7X
/YLw/3szN184o9Qty0manJyQGw60yTUy1+hP0SLCHflA94WgWPsgubhxOJQ5HWpOe1d1rrbLtVk/
DaUevoPVsu7nUGxax47YJ6XhAZSc/pY5Itm0cN8/DtwqK78LjRpwWDPdOPTPXKTFTRSOPqG9cU4/
xexVT1jFoUmic3ZaKTHK69i80K248aT477fpHC73todtmxqCfZuX9cviVN1xtod+L1S57C2W8aix
AivU0moD5eFkC8COW+mGpIR7k5hrLM4wQXQqVm0jv//T5EmLAi/KrSMcwvf1HGHLXVbJNvUwGfEX
YImYkVZjQxPzalzkm2k2FGgMBIU/s7fvLsJZxDcUhmpndYu5JVIiDnbbmK/Yquut4VXRpqaJcpdi
g92qkpaQTB+bDz3P4aVXnbpf+RVnLifUS8RIJFk8JfvGjIfbjDLDgOW/fcDa+6lxZXKeGcRfQyzf
t2EoPH6R1mYSoLKemzNp0aow9dsWaHsXJDz591bqTHucnOqz65R4HYmwm9PSPajWAkcnC9c+FnQG
PND+vtwIkhlfRnC6fj0V+jYjPnqk4vs1VJCXRcnKARkCPJQ2m9sE4A+YBaG9TWWobyVryYuVJDqs
zHZt31IRPZz0fW6kiOGWAi56QUDp3E2PL7j1pTNtPS5EfjtMNiZMOieCBXsVoLfIoKK1gBpi+3r2
o8tL/1HtNfdqoOcnTKzPeDyYKWQMls/RU94ECtooN0tKtWLniaiwG3HkRQWJqOfWJoL08M98/9/M
94a0bObufz/f38FOrMo/Dvc/f+SXUEm+Dp8SlBIaPmjWW8EMv5QSQ/5G4wDoDPxMLmImbqZfniUb
YzE4IsZ4HW8Ra8/fB3wpfvMg4KJeAg53JEfW31FLmFX/PODjooKkgpBj4WG2XP2vCI+s7Zds7L3k
Ps1g+HqBCWmk8VWU2XdeWEsGJbtR7Z4WXjowOLFIF7JQT2x6/QipTbcN+h6OAOI5fgt0rDMf2TSw
4Hu13EHL9MCmzNmvhzI7gMbVx/sub/SvjFTU0ftc/hM3UCJ22dBgaWbGqUiOu8O+8mS0LeImPRVp
Kb6bEbKNz/Xd/aLBYwgmZP+Tk8mG/HGE0ahz8kfCH+Gew3PZmMSYiSgnIKNL0+57BAzF+Ei9jcLI
aUrtxdG1Ly7dHMwWjLolBi8iSPRCJWik5ymTydHhEv1pXEnGks2D7fNKiB8VnDZSFdU038PYCT3i
ZmOhtmbN39h3+//P3pk0t42kW/uv3Lh7VCAxY3E3JDhIpChRky1vELJlY56nTPz674FcrrZU3a6u
b13RER01yRRJIJF53nOeM/dAkzGLBL4eAyRkBgT5a+lPmZzPCcPVh45mz/RkG1ILaI10rxMUm4ns
kYwT2AYL1cWNY/bOPvyWVaf3icL61PdlwDehPoaK476GJksxlwyjO9dCUwVvoJipKH79i8QJ48M8
SfkRPCYSnGNJWAfsQDc+M+ISN1RK3sol8g1/nRTlB9WiHkfERVAM3bG41LpSr8gsEGRZF+HsUbIx
ucPKzBd8INVzAOdcGVPCntpd11L/66onOO2Nc8M7MfS1AX9bEiKPZQCBy9x0+rKr0dL4m9vm1iaO
kmzfJdawnSLTCewmAWRQxe65mQHBr8o4iwJD9eiwToGRvKLDhbS0OGu2P9GyUziXoeUqWGyt7bxM
BEUDyYjxxBRwBrypqiJmMK0gkm+bUquPuJZTdaWXAxnqS3gEk1cjr5TgcjZ8EHQDkfLAXWNlDSPB
uUyEtdJNrE24QTl5AAcpOuuIMZwWwhXIbc8jxYQZ0AoKIHLmmYWd72oWo3tX1CU+VRd+Rf2Yt6NL
AXhFKk3FiL6rVmfWujaldLvAoYUHd1cVtv7RqUmvFo2rsIDnLvvt3FOAw0YcRh0lyRKJV/OS48he
7eCE5QS3ga3zKuumgfEF7I4LGREWXyzZJe2GuaPHRPeZBO3xJuRssyjkImFJ/XS/19vC3UIjSW4S
qRDR42aMgWvjMOLO5hQbrsxaJX3QpgvfoQ7rcTzOGA4bDLAWNc7YY82gHpfIpl5q7bxKmUngASz1
pFu3iFTulZwLxoudre/azB2CODIjfHxstkmNu4jvueYmtMJV+bgd2coyxUDgaIMi96aPBlbAXQ9F
Nrq09O4WzmA6nyH0f9Fmv+SeIo0r1x6pHfvUVwQhtuDYi34bDZzqQU7p1spTQ3w/o75WO7gebbnj
H8LEwGkBMpaVSN1Z9EpWF4bt9AiLeQ6sNtdjAz4MHqcLs6rbb+SDHuzB8Y4mLIL5bswMduwTzunq
og2VDLxaA43ddfrVTLLxbJUT92No+WmxSSNWM5vTGJHgJt3N0vQuUw0YJKEfTcqjFBOVCWZXzgGv
hJ/IC7tNLqJlI8p3VW0jpiuBMVvmWcN3RVv8EOcBmz/jUDmlvzG9VPM3WlKz+7diKe7xwyWBbuYG
33NmRenntnHT51TvtQdQPuPT0pjY0s9gWdxrlhwDzvjILILp0wVChbXGu5p2G3KXUXvgP7AGpjKA
3FdEWtgTrhxvLuJLYr02Rg1luXato6HkFBRIFP61ga8caK3TQsQox3rcA9gxq02I0zGiFckuOB3B
ZBhICGJQvBeQMx7Haf5gcQn3q6STnGj8Ujf2jje5Z8cmyxL1oQp6I6bfnryuvoEVQiGOZgNLpjpa
3pZhZ53ywsDLzQSyEFdTW1VXcz876c5rKvNj08uPEQBAf9VzhBaBSBiqrsdR7zvseKkcroq6gHSr
RHdLwy3HcKJ2Mjrjyw9bY4VjR81qX5h0AeLm5BAQhZcNhGTvZHmZ2P6zn/pv9lMokwZQpv+8n/rA
Mo109/OG6vef+bGh0q3F3sV2WIc3hgcFL9mPDZUQ/CuET9h8vwP2fuynFvYeG5wfW6alcOUPD/iy
nyJYtZiTAH4R73oXzPpVUOu978vTbdY0E5XewA7um+zbfnaE44yAGB0202koXiIYtHH++adP4/dk
2P+UQ3FTJWXf/d//LgSrN5bzdy+wbOd+Ily10syLWvICXurwnCpWg/+cjKfEB+798uuXsv9kb+eZ
Rq2QATAMC5utvzOxcaOI3M4tcZXaudIZRBcajUbQTfHXoTJ+6l49lDEPkF6HvPRqsqxyW2G51E29
iYqXqqk8NwJ4xbTVd3c0xOo75ZXD14QWqqQ4Dt/JAfpCEci7V6IA7cPq4JCfDe9V02/ThUDQUTdy
kzYVWALFKRL0rrFQC7xXgIExOhpjXSZGfk8irqB8+K7xjWhswV+Vo1sF/BJEXBKyNnjwBuOyFXXy
oGQ+HPKwGTiIjSqfcOEkeFoOLk6gAK/5fKJU054+wSTCXUenZ7LyeqNlcsaO+trS3Ho+pL0fa3eT
riVWuTHHiMRRTaA77WW4sLbRNv9ZNf6rVUMw5fjp4v0TAeWuGvr4f9bPFA4lb0Eo5EWWH/198XC9
32z+3nUcaCffTWi/rx2e+RvnIBuS5R/2tB/DFvs3g5QHsqEJ+YI5xb/WDtOAncIt7zIeFXjhCID8
jbXD9t/dcBbNXNzenOo8fg/BcvT25qaek4KfNKn2EiPVtPEBaE3rEtjULsZnuQX3aA20laTemR4D
VGMjKZMTsa8qGIlpeOB4BnGfhon5AT+Luqkco7wbOyf8RBOdpN/TZJjqTrO9Rw9iWO/zGR3AMlUB
7anssCbJxjvANAf8LcZjR59ozsCeVKaG+G7ZJjbxJm82jZ9QB0KMfBJrBH92+zM2t29dgS+D+Yuy
tpnWWdcxjSs3Ge2BNNXKUdvojWZC6Ac5jIHcLukHNWNYWYjKNTXyirC71mIr7w02ZENhmkQoPfPC
l4yKNjJH8NN5OPtBU4T9V14FfHdrldBi6LbtTMxFDaKWy/x1Q7eOeUFLkEP5PKU9GY75yd6j9/nu
xpz14lvCF763Q1uyg7WRRcWchC+zY4OvysTUfahnDSNbyG/2wcIq86GcoIoSD5A3oYQvNQ1heV93
tM72Hfn0A3b9yMYWYOic3WIif6RGcxGy+21Izs1x7Z1lxu/VODUfJERFuPOcNEKw/ql0KVif608i
8rybMK+QiHBR6SIIfYjinKWmauvSr7uyZ/dC1kV9nYnGv7FpiMQRyLq97/j8tiMdQEeCe8y343g6
xgPDchmPRcEQvazuhGi8s2ZxtaSUI63pLLf3hQCaWYStuA+pOLtIcE9dUqJpXcjBra6zthm1u5nQ
4cZxU2ZGkMbXTZ4NVpAgJnT7WSt63jMEEuoKms/TXDRPLV0wHwgpc2Tw5wZGIfUv3QvDDvIJfdyD
OGASc5YcfCDVWP6d0SbRWZozLWC+xJO2tkfzE0o5ghlXnm0EfaxNzx6zFgRxNMO6Nt2I4k+dc4JM
y2QPMqufL2CQGrAnw0E7GqE2TuuJkquNqUuvpEyUZFJ/Edus5atoqodbWrBsLC2m9G9qTxMmgHPH
eSiJOF/FWEUmyjlyC8sIxIxqxpgE6sGkBV7RHb7S0nSq1Urjg2j3yoay+9RQPUTxmY8LEhKgGfL9
LH1m7A2GZtp4rudtI3izFGSFVav1l71TD/pF3jQq+YBH2+8vscbaeCO5fD4yXNXu8FF1HKXDK7co
8E6MffeBQeaJrvHomA8FFPAU1QIkvWEWlaVdRoXOUMElO/Fgm5R9JfNSd8HOeBNCf9vywAYNY+ow
1uZoekywAdEPEFdXdLk1m46wRDoIfI6EXCgOSg3hwQCLp0dCwZGz5/bW7ksSXrgsWiycg20WNUZv
AbYuBUhGwginaW900Ytd8jvslZ4QXkEeHgLVywURqKcX6Ld2oPzytpq9Y49rjNo90eFGquTllKTD
xpVJvrF6DtTUUu04iWkv9sxKk4eki8J5Jz1wZyrhuEPw3D1hS7xD448CN5p2DBDsR9G2dDANiD2z
GqrrydNvoU0ZKypx+dq6ZWJr0do95niuvNrB11HSQp3a5UEv6+5rqtyTPhvhE0iPaS+nJr8rndG7
TseqwwdKPa0F6+IGzJO5XVqAV1MSq53FLiFpPIh2FsHtmNKBrRL4JaXGT4mMdu6kbauaNur5qQox
0ancvZ7r9qqfAAziax3XmVm1uyZEW0sdTb/C4TRdOx1uUI7En+laanYIE94mCVW4rWh7w2Zlw/SH
vrEHmYhsNI7ULBSJOKhcjavBjT4tdVdBJNCUMleVATnBapVTgv1hSptprxdR/0Boq+fCmLRd1Mpv
Q+vkOxWnagNqUNyPwgg/mZmtgTUMY6pJU6uAHuwZ+gUk0Snbm4VlH8omqbe+jyl2VePC3dVDZl0y
jyYBpmnueahjf5fMPJoojYXVa1vYbkZndk+qa4gajRgk043XJD3GmiZ89BubW9YuQlAqQ3xCGwcM
WmUVsp1Mso+1mxdbMYzQlhLD2xZd7+8q8B9P9RTqH7BEaZt+BKpRTeV8wlNcHVQztZzmCu9s8i+u
Okdq192SYIoahH3hk8ajX9k5kfIVAHpknzGRkWl09LPC81dRaTfrvE/YHmaGWVEJyaEysCZccnZv
VRSsC/NkYvRbcVCmeV5DAgJ7HNI3XrvZJZYxauNqbGANDvLHvtY7rL5d2QTJgO9RN9tbJ0yrM7MJ
/cS0tQy8fimBzbkMrGmrS6NbSyYJUAVoyMaHoKFBuOlXE/vx16Fol04MQqdr/IcT9CfLUZeMKnwT
Ql9DzowD9UNFAuo2xpL6Quwr2tR+4x2b0Pik+cO3hCPYR3AXwFpUqa87y34oLVu74p7K1jTYLGBf
1rlZNeEDaKidNNNPoTN8YbRq72BH9dAKsa+jln1Uo/ID0KVG4LrU9lDGsRpN/YKhDnWUwqi/YgSB
KphqVWB4DPpHYyirNfR/azM7objJGeBvELWycymcUxlRg1fQU7kpSCMy3UNB7ddT3E7QuEUxnyLV
hxuCJS8gwe5VFbCVYn+RzOB+J3MEMCYwM4DuxKfInIcgqt0sm5nGW/dWi7efp9wGWC01All2r+Hs
YHTe6Azk3GRPI4L7tRXtLUaLbyF15F6bNGv8WU8l4Tbscn2yw73iXvqM5o61DirMNZsnFOgaLNdw
SXYSL0TM1ItYDNJPNII2k6q4MMeagB9egtQRD8mksmPONY+BzRFb0XY+RDcGsrWe7gDJ1pdVL++s
Oe62gvnYKh/hVDL4eenZfzIgZHKNOjiuE+xp2SosTBXkCp6R7VT9SpVdsYVAVKxazfsSRsZHnAPh
k97Y5jUqd47N2MaV2XNd2V8KoxBI3gNl3CCzDtCgqsPQGF/dYlqzL3jpsNfEuPrzmmlYN+29GjtH
Z+EJSRrkw9Fz4h07FvdW0LfDUXdKtwhQ8too3RCaZHXZ8qVDltsleG1j1VFm7tZcosKL0EYlzUwi
FSezTh8klOHbZai+q6fEHnD0l9XtwLh3nXY4XOAb2djmVxaP9KPGVC/onPmxB+C+bDYbUV5T2xet
rck/UEv4DQV13xgFeQJNvw6n7nrOoRrEPVJl567SuvjU5kRH507eT91wU4se83N5xW4tIcU7K+57
/ClQkjL2gEMEro/bnCAEsCUbbZBmcdeyj/SQekenaIgPIhYbyiXhpWXFfGO0ZXb45+D3Xx38LBah
Xx38Hvrn+I1W9P0H/tCKliigzoRN/3E++5dWhIzk6JQlQA5Ypm8ILT/EIk516EqCUNwfKtFrdIns
IAfBJaC0DOT+xknvldbzRsVh+2fq8N45bjLme9+ojixCfkNRIeqXswZJzGNXqbYUnuInKSzzgsx6
xuIeRfWhsy220Eqx9GAgulFN2e5bfPTLlS4hygwALhMhb2Ol7BsQ+Z0OhBtGSMi4wpx0gsh72NlW
ON1qrpJlg6NuJH/9EIeShoT9UDDUcaKJ4s6VnofatV9YTIKqNmVdwnckKu8bPTYqGfYTx2c5XgDc
Qlq9CPH4ppcAF5rxrh75kO+0EpvPprZgl2/gvrcM2F+1Eo/CujXIbDpZoxoxJSoMRu6RNav+lpx9
sR5IHJ7Cooh3jWvMJtVqDiyOwkDRR+7f86YqatIG7fMUF8k9WcIWk34Rp1isGAhIUgczt/wWIWp4
9gVOXDx+rFQkvZO1g+tu7VcoPO7alzMLy2XKM8V2oxVzT3oXpkkfmwMBxqIUxPw9eYqjbNQuJEl+
UIUoP+pOU2KY9UCPsnQxBNe24e4MpnYDtly96pu90KNQLDaAbGyypTOGNrurmukU5sNVYRtGMV78
syL8VysCyV5E1/8sID8mbYTs8fxmVfj+Qz9EIAQdi+QwGUTrFfX1LwUZFQhKCAIMSsxSM7HoxD9k
IP83wryIR6wCjkOVAtP63yVk0/mNP402AsoVPAPCh/N3FgdX/Mlzy8ubDPgdcjWoru9ZX3D/qqoC
9rP3PKL/E+IIQ3LqPGFQq+aYTOYGD8onVXr24oKJ4gfA3zz9qA0+JHE0nMzKSXC0jebWdkMRbloX
ZwylYTVOr3IpMVSkWkhAXzRhfx+CpPcW/9gz2AzumIBKtOiBhFj5aFD+fVMXE3aTEW3mxQ7L6lDF
tGBYMBmfqXTKmb0bnf1s1uTIVkuVxmPvVNrXTLrygaNNIb9iVPbd9DJhknKKK3fTUknmRTI96GlW
eztnREuZTAtq6SrSBus09Cw6IMsr7V6zbByV7IHGTe0xzXM5nK26ImksTrumPIlWssmmc/JTTlmm
ceioc+FjoY92L+QUkbsUw5pA5LK0sYent28i5Ac6g5K7LvtsFXN5gJ4OR8mbrcBurexjm3b4Q0Vo
BRoa1ToPzemRelu1mCTx9lkdIPcKFYY2rVl36THmfMSiqD3BMIdnD17qIdbhFNKflwOSncfGfaw7
zvBrlwMIuMcWOQhQUgiTJfSjPFlTrdAb1w16XrPVkBnvW3xPzwPL6EyAYaqfrMhin7GEg+CpLJ8y
5O9oFVe+uPczXB2giDm0RUlPljOvbf74nqz10qje47jmDDys3b4DY2vCfMA5a3O+W3mxX5Isb5sy
206UlR1Em5Neev3LHBYUdDTIp86qGahBWau44GdsU2XusS4pojHozSzWdl+EjynTsWT9OjftR2vB
R8UY6oJI2v6jB7YZwbIP/UfaFbBSt96ilixmy3tD2LyNYgGATG41cMTvfQaxBHGfa9S+bmf1bL9X
YFLmg1+SDFypQvDUiwRPxtSaFy7v8qFg9rRoCcvmPL5k4sovMGHAizbA3Ph0izGsnwj8oXZG4Ugw
iH5Bk8Jz6RJz8VwU0lM45rTydX2oRxd9PSYzgcS0f0H9YTjLKZWjP6cGLABUO+S7PE0ZIJP0GLsR
VyLS/8rylqJvycyCEQFFOzQlGxmfYDtJ/snc0IRkOfT6SBnztcxkQp4cCvMYMda8iRDd58ZLRuf4
+oqOC4x6O2oOXPoc//UK+iafbzpFSw9g1ntr0wKHyknUGOdd2wrrWScR660xElYHR2/rpwY/xLhq
bNnuMYra1pm6VX+TmYvNITGTtttwlDNNEKEJf35k5rwtRQ3CMSb2+cFacpSPr7+lx0M32ufKSkps
QTa/rF07XGVMgcTJb/MSVTjrcBZ2zlIJnhVjM98hbVR0reTLV2roy+fjpUrvTr3ylxBcx8m8rfh7
XyU4XD0/Al6gVTTR0Mm5TOwhduzcKWeFcunk21uFLtQ2aer82zwD0+QIpS3XlDAIoUW25hU7UAbL
dF0UEm5Mncm1dLN+CnofVj8n/OkWO528GVNVP5lcaSZ0oQGRK49LyuJ9y6+PvUc9R23TP2kbWoP1
xoBWMhTIXmvFkWFJYoWHlLa/R75MXEMLqPE2jVU/r+Bm10+9NXQhKCBDEgj0zV06ecWWIykhsjGy
KbLouy8pRa2YVHnoPOZ+Lu88R6NgzuCIvDJaZtmriA/g6FCaw7srssokT4RZZd1PbW4Gtl+STOQj
YzsnoUTsJzAWX5o6pR9KlJVnbtjhIUsZHVJuBMj5AlWWz1fJOHxsXZcVBPToyAsW0/UkbMpBMdxT
rdKb08posFYyVbfqCxNoMV4vL45hP6iIM3ld3kIjdxbFhtZwjF6xQdHr7G41uiW+Wm5hXoZtn+zT
0RMvue3Oj140SHdL7Dw9NnTvfjWJpN0Ptq0u6oK6QTwq4bpKtAeChu0jm8Uu4LTco1H5XrIjAJlS
6qLlR0GzC/9MllvdQ4UuIWgDuI3QgiFUdAfIfS5n0NRV1qqYQ/OJqGxHEh9JeM0MWtDa0mZX7L3s
wJ4mMnMEn8G6JeHsHu2oObVOW3y1bT9Gh/A4diMNNIgovfROuL1vBbNOueE4YDJE8MZOHHN8+s0Z
iwYjC51M5WKqnkdzDLomq68mVA3GhEN4U44QXnvlcrzXkJtFSXdnNBFZ7P1uBhc0JOaxzjA/PIS1
WT1Ocd7eYX6/ie2xuQWVDCcaehGVLcK9K90eAzXilHfdoHSAwcyp+Ihi/WNkTPJghd79TBLlA6XT
xq4itIupeiorn/ujzuv92MrlxkfQrH222bVx03Uco52iju0N9hf9OFUzOfew6fVzF1NlLA2sF3kK
w51qyhYc79iTe8gnvdQDaIHTpxCrbL4W1mBz2C+GgUBCk+fDWhNWviG0V609qff3Brysp8Tw9Y5H
oalfDykOk4JulYvRMbmqJwQlyeP9QNB+OCH1fJpar7mqcWuDpJ9k7UAkCPsjx3FQZ5Zv3CkfxLyS
qThnwum/jYS1Pyk/qppnnNP5eMaxFUaUasyw4POsXNdN+9FQc3iOYxEGtLLSFeQJeRx7AJ45hFB8
5CSJO1O7btve2XQGhiXqe4uveQ+ot1nkydBWxjlN+vEJQ1gYRLhXbvzat68pyolcqAYxIhHjwfpE
XCC70sPGKAOolNrZwsocuNYwbfi4iFJYjrysu6L8lAw9MkhVP4RDrV9mevvY80jcxCnXKRmcJ2FE
F+mUdkdN2dbHCaMc07JMtcScOkHsCmNhF9FnYtLEczW4LVmTqV9lrkHrp448vXKrWmJbi3uLd+hR
dhKDXgmAKAxMx5V2cuhVJZwbH4vJq/ZGLj6EqeWuotxBMzJorIGdSBGNzPNAcK5jLUTviTEt86Tw
w3mR0Z0VozVLbH2LGcsK0ox59iLLufH8tr+rWgsATYuWxPuJwXjOcqu5PWHdNrNX9RA9OHojDiXC
MelmWdMBrWxAdkVxB2UcvHfK9mNrYLoLpJHjUap1qa2GnuncSnVxfFMsqRhQkupeb9vxoDpT/wBw
kgUKieiKFWikspV0dNAX/tkki7GryyHmbw2rPqCZNrexTXpojVQ2bUBFMjWMp0pcDlY6QDp3aDUJ
nQuGCqS3s0g96F0eOissTY/xENMeVFANZAvYEpEco4cRXRUfq+x54nbmpVMXci/1iACpH3vEnhy+
h75NJ3yQhQ4Tz3MHp92qLLa5E4o+W9fSbrZWMvB0zGM/WjVukaOCkVSufd74SMD/DqXY3XY0kKe0
DQmEuLRLAsK2pFdCPJKyFbdxCB97BYsXUK+KugNd4IAT9FgNB9la1XYyDMnogvWUsRLB7rXLevOS
NoPzDWFr2iSZY8/72IdBT0dss/dbP9zky9YKsbVFhFQUKVmiqNbUpTlMVJt6kxLqWHuDN1xNtTCC
UOXkyMeGQJvrGgeAeuNp7rzafOD5ll31ZY7Hfw1Ot7hJ+8Sk7cFG5Ctk5NzmYDpw/mvURI99yrag
nKzPmTD0aOsTvOYG0tkL4o7PriMestGYy2OZQSZGo/MlIqEXnju2AQvjvWblVWb00S1GOByzyTAb
k95ThL/4dg6nxcYSxdsmG9SRHl371JRxQzt102iYUe3h0qzy/iBFo3ZemcgbYffdfTwVl83UHGpv
lgHmElBroFO+OKyWu7Fv2ksx2uGujbxHNmrTln6iYHRb65yiO+CpG7MMvLAsKGKAOTOJbeLP5JMn
q4W4TnFela4Kw5lvB1OvP8usyEl4+waFEtg8oWSQsiJHhuScDa1WfFHMpeluIJClxXNLNqtGMv3s
9fV9PagSI2n7PcZVaCxuF6F0dmSD3NuKvFf9mvwqX1NgZqk/95NfX0nwbuDouBYusikJ+Z5TlW28
LI3dWwqgAQ8nBX/VTqCIy/CmqgGi2IgdLbMeu54+zDHzEMtsvci9iYy6ueHpd9EXPEGn/U8n+X9j
fnrnVaemBou66QP1oXHGst43Zkb+xKQ3Yl/rtq11MZmcRO0kNu5n5XYvfiv+st5ysWv9pNPxgmCO
PNugSFUnovPqkPrJbYXiqxC9umpfEuE7MsKunzoW5udM63FiGtXwBai2ZZ2i0RvMi7Zl/qvWALLj
As9UmrPycWNvKP6y2uuiHcWp0Jy5vmyJcD+Oce9vaKJnA2jNZci2rXC6Fz3STZ8DPQitO8PRwnZD
aKjdJ8PANrNO7efKHqf+jmm43W3nXmBXWJcOMuMniF0ACBgNcGCLQhwQiRlxFoGcIe4L16Q9NFfd
C5dM+c2D9ndnEtmHhtF0/Pc47WrsFUAdjhFnI21ZO3UOWEILzzO0525LVQgpAC+qmHvzH7bXVlUL
Z9fGwpFMZrzq6fUsXDiNOP36S39nqeM7cG3HQqkhJkH7B2C2N463jB0yeBa92ttqOS/bScrZYBA5
x7Vfv9DyB739snkhUO1sAyzPNN5fXUBZYabkvFAeU0iIOFHQjV02fD/ce9Zzl1CCzdkQSuqKINZf
ddr++dVpN/UIW3sWACv4tm/fZo3G6OoKmE2b1sa9M01UuzWJYv+Yt/sKJpWzcnqXQ4A2FRzbfv3W
BZmWd+8dCdzQKYgS8NH/9N4nHAUhrnTIRHjjsONMWPauCHUY92XacWy2hMObHy1VHeCHskfV23Lg
4FdGbr7HPyzuX3+hf+CIfwFHZH2jS+sX8uaHZ5w9TEHfZo5+/7EfYw8yRyySNg12HhbUpU76j7EH
maPvMaTXTNGPiQdjEh3D6rK+cqvh+fxD27RsHHOccnxOq1QQ4Kb7O9rm2/WUOjwub7oUmHtg7n+F
LL65lwnnNMDcB+dcjDnTa56vw7mFTORA6Wm6Tz99MP/mafH2jnp9MXJXJKh033J4u4vb7qfFO7Ll
UjvQW+dY4+hfWpVxr/rRf8ySfrmZliUv0l3r2R/Tdv//8dL49xg9Oa7Dh/r2pRMtE7KvhHWGQ8BL
45JgqVcTIUC2f2R8PcmqQjoGya0LKTT4i9v57XNyeeeuYSFRez4LCsrMu5c3zCQqfYDu5xyOD1s0
jT3KWu8HHj1JtbycXOSeX79l4+0S8vuLcqlYjM4cVpF3H3dZl+EQAWk525hz70siuRdG4aBqkozz
H+ueSmErMXnxQQw8SuJ+6F8ctNFdDiAINYqyyV2Naif3He6JcDPPLLqOZ7Dkhfaoi8NYh0oEybzY
bzpQBHEg8xId69fv463B+vvbeBXeGQ+Q9n9P7vQmz0S+iI0ziiXXypAj3OWLJud1rHKgMauDzHC1
/fpVGR78tP7+/qo+t4fLqBJs6btvDCERkLTdinMqRnFfauhhJMXjb3oqmzOJHXlrW7U4YX5HFlYx
KvSvX//PN6bLRsf0cNUzIWPH8/aCHX2/JMEnBRQZR94myw2j/AFI1fiXz/N3z5rX92oKnuoIFrwg
4N63rxUqty91fRBniw7zWzpj0aAhDiFth6bZvRC/gw6NJZy7U0dlrt2Jm0Uj2EtEkfqpv//GTSAq
5jLYNf901RoYzf1GD/Xz0DfcJBbou+po9IU+rpIy+6u+7393kyygF+5L/kfqctns/LQmiTqFv2qO
xrntyAaXKkYnflVuB1evDgV4NcwiaKRNk3CV+/nMlnH05eJBwFa4wtxSHTRnlLcR+m4E3MjAT0d7
7Ub0zGrieKRCFJIjd5kNBHO69Elu5dtff2QLMP/9xQrb04UJw6OCCe87m3KaR+HgKV+cQ6AlzXZm
Nw7WjutG9kX91LYFHXhMtJ+g1/k0UgNEgz7E1q1TfrOvqV6KmM1aFFXP05y3gQj17sVrdXn769/z
3/2aWGLYT7Fv/HN8QZPGMAL7Emess3wgrx+zqBHIhR6K+yZv/2qnary/i+gk4KrmmasLXAeMCt9+
u0UfGameqe48oewdGI/Yz2Q5l/8zkbaHhfrWmg6Cd5iE7Oxpw8DfA57Ov0uGBQNhlqp/MauRK11n
BdA1boLEZPxjLdfE60dE/IyHF/l9/9iRbTgoYWKJIYBwYbi8ocX8+N178h+7h77vsP+1MbY8HtYc
OhhJCov2ITaob9/W7GU+jHHUYNJ7lH3Xam6D1NXSa0Aiqt+XY4znNnXHtA8MmyAicAWIkaD7GT+s
cv5sfa1QIOkzNMYN3cfudnxNJcZOB6iqFJEyV7A4EJd0c0YC0eNJe6g1jIqB7lZViyC6BB2ZmiLj
kDPlzkiXFCSPgCUQmS44Oq8uzzAo44PXFekRPFp1GlO04MCDDjasavpCPwrlZteiUvkXHTtxQG1A
G2PcmWdKU+QYvygbF/plr+IySHqe35fMXAtz1ZhpfUObGClO+ZrohHCmB7Yb0+cwuq5WPw5lnk6B
Gbrune83Mc3FKflp5DTEEMb/EYFJst6IeFQye58bLW89NP6uz/YzBkCKFobBai8MLMGc1zmdHI1o
YLtdj+Gl7vg+juCRSaaLZN+eqVcgqJrafWnDNzBgHxVxVNc3NKDm7Rq8QxwGXoqRJMIETrEa14iL
SkKkr1L+pili/O5sDfyNK3rGRMw17ecOon2yLj1WG7aAy7i35m7uEsWPcbTO4yA0S23tAX4DVIE+
5y5FiNnAk1nEgljt/D1ka74mbh2zao5kYcnhRt9DuXUivQuq3OPTmPn9F9rhHeYdRkxqKEnbwDeL
CB+m1W5bP1lhjuGsquvzR9F5ySU1AUQv2Qd8JhlccfxjNOj6RrjFKVJ9AuZgf4QaYuPPrOMXLhT5
NRrCdBkbR2WgD3w9VMr3tNJEtR0Uwh3XXFiv1eZhKaVH4boGmbTqX6xGd9YSI0l9TwI6yQ5j6TFN
uSzL3C/uXQoNdZ8LIFeVGxRu4WHlp3LB9ej7oOknXHo/hDEZdr0mP64JkEFKU+QpCA/69UctRvjm
183Ssg2YNBTeVtOXzQ8E1NsKfYj8M0mMgx6RQ2G116xn+jWZ7nTMgBWSVZg/SK3jG1Mhc92CMuxh
Pbr+MjJbpmeJ4qokECZ4mFplw58BkqB+8sELYYKhHxws6DLR1PXWCyZ6HGvIE0zuYX2wZCdWdB5c
hpfrWTnWc8jEBGKczn4VZCqrUTHZzzKc/UdkxO6lQ/HBq0pSVrNYh1yrwIPUxhgtG+5QD3KyyR+P
EZVfjhNHdWBbR6cIfuogU0V1yMrMuG/+H3vnstw2kqzhV3H0ngzcL4ueiCORFmVLallWe0azYdAS
DeJC3EECfPrzFQDKJCV53F1eICYGiw63KBWrElWZWZl//qmIVHWTRMRVShhxYMawCWZGhrv2Jqpa
8hMP+DANG30cny6TuLNFbtExEU6uYanPICHkNwhCBDdQHKFiuFc7VyB83SvXTuq7vty37TwudCQ+
nHM1p9n8xza5OE+c4olutoiyzUkXRcU/29mS2iB9pkOceZvgdmoA3/3mNmt9kTCyCICQpCPB6hHU
ofAfrlBxN25EKn5Dx6FpCxqofK4behTQI3GuYZ7LOt1OGuE9UopmLtS1yCtzJPmmcLUpnvyEzUCr
2+JpkzcEZ0hhAy8IN+aipRUFU1Y8pRHWNnO97AFGTLzf2i+au9ZR2IVZ3Hyog8haaDX+vejL+JBn
TAYymOCJNACpMd+m4znMVMoN1ECjcxo5wJ9CP9vkim3EuyPkjvOeZBieglhPQZHMnRIoOOEJJSZA
I8L0YV5FWPMmBBMynWv08rCKHRlwsoRwZ2ZFzsw3/M1GNIenA3E2ygkxtQ5OJVwV0ez0qbv80H4Z
oQWUUE+oGzQicuJhBslAahF+2NJpi85uprFY2RQ1X2B2mGCqQa125ozibQAOWJ1/pUSJL4/bI6TO
TTqcboCE4QZheaho335yjC1U+G7BO0qhZNVK/tf1VAwwmGd0Gx1DQNwBLbtQGwAFqAH90uJN31BW
ZF+ynOSjTkL+zm+qhtqPVcRsyeLlM9KK6k0ptqcJQPhG8QIsU2hUjBzQZhTyz6CprtMtrKez9WrO
HVC1KIc+qyDp16cEvJjMHKaAs9IIRShOddwv9ca374MQgu5pCZn4BZRo7JE2IgUDLTKlBoj1t0og
jHR6hPkwGpxHEDVdwSChX2YuJyy1xNevt8AFWlRBVKrpQ6AmZOBFBA93P5tlc523Sq0AtfkYcuSw
xQV1Y3/+hX5l9W3deNYid0rOq0IXvKnm70bWxDM58XleMJN2J1KHoxYftz4qwFTx0acdkMTwMq+4
des5FfZOIl5QkBmoJi2ZZ7N1TvjTL3e03i65jhYAweEdJz0n6sc0WLU+U20KqCgIgHeQ4adgKeAa
YlAEAlSIsDOUfKL8Cz3vRtBnuAJQkeK9Z2QOb9sVYonwkQsLDZQnOdhJceHdbUfpw47o8j3M4to9
HVhC5WzLlfa+yvhhIiqLp6Xw0nZwiUSdx9iazWansKPSaARCxWlRHGbqXsWaM6LmRFtP8qriJiOk
lqeb2qUjmxrtJrmYzspiFaE/NxZpVXJeY4GfIkHJsdo1OvTJ+k6HhzACkWBCFfSUwRvqn2uGCDau
ihzG8BVbHp41UJR3K39u6dMtDBOzxqfWdWq6VWTe1TmE5yTuDKAxo1wxFz1ixQd4EwtSMTK0xmVI
4UoyheNxG31Y00VnDcnxSss+UzhNE9wIjuX1OR2c1BsKcoTuq7VgdJF4KkoeV8QTV3Kj5L4C9ULy
cScE0OkicXHfBBp6QSjW3LOxOO3enXuizr8u03xW237zlTKo+ad2fxrQNV9QdgSAMs6M8NquHLaI
o1QAPsxw82HlNbAtdRsClnTnW2pvQnJH+SafjQIIESLBuuZZxFLaXWHVoQh1U8pBfpNCDDWL1ZvA
FNGGsBjRt5Akkgrjv9mimXbhiKY5GkGInGZ4O1hWWVAXVvVzMzrPjS2fNThC+YS7p3qjGiyBLafe
mysqYCaiGzAZtHmGhQGJpr9PUjZNFSRoezrb/EFjAvgrVjs2tQJZcyVAHPms1YBGWBJOpRgIYZfz
FvEC/xkkk/ZWBIMwQHRx9/QGFo5NiVJIvHwzf5+NyK1O40rMNqhKjpmeNXyvlzb13boxuBKkXNW+
uDUYFc/0WHfVbBx2t2aUowmIWRp65vhC0Fqojl/PymoT04ecjHNySZ8O9SZXNszCdEqBf/ITdrui
znf5fWlWOCHeKHS/tGx0MUx/rNeGXtmoNPtz5dTrP2AWonvHnE7KblDMTBh+zuwczb4NveCbp8NK
aYMxobE8V+rzTaJzgGswdRCEYZEaf0tvHkKeLh5KY30JgwY5+ykvNDG3u/piVAX6eyV2KG/yMmoc
VpuanmppGlzrRqGq51jN9SU3+3om0Cqg99M0vp4nevLNrSP8BUurUYY4mXCxFBocPXVdlMqHTCj/
D8HcIxDpAhK4gbQi4QYTwfw2SjSiMETZKmoeAdZ89gKN15OvU/6b0Xd8d6abu/qWCOCWMnQqjaDg
Qi9lG3yctXDpspVT34UeFSNRnY3OqQXkzIiLckiG4eNWdzmq7iojlaHkTA9UCsEmLcE/AMjDTOvW
mMxhg3vYUWcYLhN8TKwL8IMpoB/9EpzM/MvcmaPh2ouhp9At4UMUBSkqr0SnJVYNaol4Guky0IJX
vuuRM0td9abF5qmjkhbnu8aZWLrADLGdaABpadhPSpDZrWsPbbWzfO1+wzeft3rTpbH57Q7YrD5t
gejAB1Dq6dx1rtY5Bf0TmGPQ0bWRPoRRvT1LSvReDiDtpoygMvTnI0qjEhoteEIz73b0Vjjnbrea
aSZk7sbGUoqPZlpx4kpBvWmGVLWOOg8jozZFoOLWYewYl7YN/PKSCxtdpgvuN7AvVflFUhbV+8jQ
NIe7CkBCJdyp944DbLA2XbQScR5EYsOlQqxprnGTaPNVFlm++xUR60kL1qP5F+dh52GMOpfZpGTY
Iu98RpRsrbz3wrXtTK2m1N7zzat7SC/rP+musLtaGY3/JxCHcFJwQtDO3HZ270FWVvQvt9YKBOBG
OrrNWz4b3Gm4bfRch1UeINtjlermU+BWu2WEV/kNDH+Bu70lF4xfRaODtFCuVJyyi0hQ5gBUhj2n
apl0siwOqJVM6uyDCYDrhv5lzsQLLP+ftMLyPlv4+PV5tYZ8MxT8PBT/Njeuns7/XNHH9jGh10g+
MVsqH7+l9dm1FD8k2KjvtkslhzHS3VgPbXTmfxme/5DhITFDWOht/PrEL8rcfyzfJd/ekfuv1l+P
sezd3++h7CR6FEIHDkEanbylRkSqJzSw7TEIMUraFWgL2pTLdyi7A+WJgaEnN+A4RHSInO2h7M7Y
If1IRN6Bk/qvQtlFa+yDSCG0dgrlN6TQCXQKhLxY+WG4s0E7qHhFyiysk/O19y3yRn/UDdW/kBXE
23i29pUPhTKfuvPqX2qIM6UXkwPhvZIEco+zQN0UAOxT7Mua6fB1Em1OyJKljuMpM7iZIZE0/tUA
+Cxg4I/XnGQ6WitlRhfpFNovI5pfp/TIvSC7An2y9mBsNCgqJ3E68q6V3eiMeu/3JaibFC7rbAW3
l2FuzojpTkYbStqV9NGAZJIu06KbL7Vg/w4KbSr+2RgGTaGbP4tdcuFTy1+Mpo0JjzylI9TE0LEn
UzYx5ZZKmYi204C2J0pY0S0g/tJQQJKzJ2Y1jSTXuqD+1z961dZGN+0+GSXcCY6oFnZGNHQOnDO9
1ItpEV4BI/0EwrWiVACi4JFbfrLcB1UfTQuPbtsFM1gHoF8tGjNY9vk6c4m6rYBDRROs63lehXf1
aH5PwbAozlxP8UX+DaeAcuFH1a1X2B8DNf668/BsgpDUzTa6sGj6cbYtYaHU4/hxXRsKnZpB1DbK
9jE2vIlnVcUVkCuTiGB6nloFX7aDp1//w1sHXhfV/69RLv1CBI/JtK16+VQt8+ZuWVRR+Uw3JD5t
aYDuk7/3S/sKtdcHerf8mXobEfo9OHHPQ7UT/tEQ0aL0y+pp+ftvujZGxWB1BfNTlEAz1/185Fhj
gvNUIFCG1z2HJuT5q15Z/o9X1snxx79zNPXHhNCwkD+e7QmXJ7HuI13dvpCXiz8Z4WDx7tgkxgUX
I3lo8SDNQxm4pN5JvFm6UMji6b7wYIO8tQV+vL6/LIPFE7xbe+NzWDzl0BLx54RwMsSREEiF08lA
N7tFkv48FIJtwpEKNxfmqPscM4bUByQEgODM+Wd2wttCsMcUnFnYYqyieJDqoRBU1aUPng003VA7
KQxNCLSB6F5Mlzt6PqAvj8PbQjDGNB/EAVf77X6iElQo3NAVJMBpYtULaVg7AWCd9HEwxuxzst9q
fxzwSQ53gqvRXdFtWyK2MlAGdxzAtOAzyh0H4YTSjUHAzvZv+lAIqiKQR7ZQjUM7BxBp8MakVg+L
M6xhtHfRKfAUz4kysLGZbc8X4dEP7ACApZI+Ac6YvLygxO6t4snyXWdMOa3KEelPCGpiYFIAG8Rt
R2oTaLDRuSaIKYEUE8+JFBz0AL0RAKT2vzC4k0D7Iad7NRImAUVAwTxv+lgL2tbYVlSsxd4zGtzq
qT9QftI/fNsgamOLJksOHTBf3wP6GCJRHbCN030+PClAnyG7BwwoN2xq8kGYPq/y0Bi4Ol40XYWh
keg+76zPgBxE1Wjr+KX0gWGg9QDGaXsH8MQvUFWDTmF0N4Zycmj6kBCLwAXJrp97kEukiE5j7XOs
ERwXowhjCyJ43iUDswpgGqVdA2WssgMgm+ilcLILkAIIQkDFwHz3UhqWFCjdV2RtowgaUI9gPy/y
xDogBdFFHO+xdx8HqBEgF5E8EboLkB9+DLoDPe/4Q71IBIWrFJBht3cjBxc9gEnV6EzW3/cQsA7c
i7GBdn/uT/wkmzsjcWYdNPHQ1CKFagIeK6UW4Z4S/hGcNaeaACIbBw+aSrhOEQzu7dNO6wV/1xsR
tLc9JHes8/KJHvV7nEN1eAbakIHd8+4M7Zbg4rvLvn6Fjp44h+QwnvX94fpdlWiCyvpJ3LTP4HYB
NWWObPTMsMcccBqD4Qm3D2I9lAJ8TDjS0O5T6jg4JUB+TlYJUIfFYWKFBzfiw/Vb7lij7EYg3Qe7
C1RR1iKlCvGQHcwANQf9WXipEbERglKq/3xwXgGIU01WIxgKJ55Acu8TvIgbkPqllIfUr/3dgxya
h2iIXLHcXrA4ESS26fXRaYQTr8A1xiqAPcI03TcN6LLYl2vKLd8eGyplS7bDbhcPvs+hQiA4MTap
5qSut4ssIJ6hbQLUteQm0AkU0r3ueZHi3nEoBRFKh0nPJmTZSWlwF2fstmj8J7cXiCaTNxJOUncU
TqXgjvEgRJ1lf1SGJwVgC9ImUuFEmCZK4fVUK+FUFCJnb78XOrEPSC8gA717NX//ssSVsS/i/q78
D0+EqtI8HimJzgPtZhmeXhAWXPZEQOTpwJbI6+5OxIm7yJXRFFcK0FPPJ2Zg2lEHviUrBUJJOkuk
oP95lYd7wSaeSISFNlqdchwe+AAmQek0i26MKYYX1Yu9djzZCyAlx9Q8IyhngGcBp152F2hjkihw
2AC0aZ+T9YO+IJCmcFr6q8PwnGbdElXkUjZSJ50MiwVF3r1ePPGXbMKqdDtzLFpDtc8QpSDqxaWk
wDWaaJHOTifQ3j7H/hJ6QrQrxmfeq4T2C4dkIwFxyl6gxF5wKA2Hu6l72FyHetEl4oZCoB1g71sP
zlOAvFo60YDvDCqPCwRJ1vY5ORGOAh4JSgTagHVS6sQ+qL2A0pI9ETrakfphEC2dFHjXh3uhu0c5
XLW6bxrS8gWsUnb5xM41h6Raj7wTyJbD5QtHCZC4IjBZ7TO4TdB3+JNSizqbAIoD3ITvW/1QChwF
eiKgNQHptc/gjIOQAq9OSgpE1wwsrYFn3K3yRCEI48AVhaBLv+0GdBZeayz7VzMN5JlYNxmLN3B5
XKEJqUA8iNnoBDQ040iFRQ8Yk7hAmqCysQhwV3Vq/ySYQM5RN3SgrIO9OukcBulrtIofpFNXs9cI
py4C12wcamKsvfHsDt+QTgRJeNnwGhoB9kWo08zTOwOwJQ4KdG69Hzm4iJIOjETWOIrMq6pRJmX1
CvHUOOJBEVIz9H064i9I4Sd2ynMlyPnKj57aGhB/WbxWKvLWL+xrBF5+3tc/XD79/hvEf8+cfu0v
igq27ru/l4j84yg/20LzDz7cQ/UP/7xf4MuvfnVS+x/O/GW+yB9XELpTP9L007xZrCkk+b9o8XWx
XhwWJ2CS2JnfZ/L7b0fzPDCI/2HgIjwZV2TspMfNYaM77kfcYejlBw4XcbEo9lMUr7EDpsuOfL6I
/G9JftJApyt/kB6brg/54ik5nHWHJJcfOY6Xj6X/WJVHg7dAbdnBJ8tosV3ky8ORu6IY6ZF/rtbz
7TqtZ3fvR7v7PVL3n463d4delp3/xTKh2dLxyB0mVnbkGRL3/UOJqzp4r/0PXq2x/SlhXD4tVkcb
sAduyk74EsqbOPGPT2SHBpQeOn7yFydaRDSu+gXCSLbHL6+D8spO+ONL3dTVDEgPzADVY9jsV96q
vQ5hJTv0VVL5xQsxd/Ad2bGvF358pD3IS/8K83K9yJtoET8diqNH5MtPuSgWj6uqWJbl0Z7u8XzS
4/uPK99bHBdbcrn+BSf82scWFEl5tLPhGha5ZvlpF3SOKCAXOdJNPeD1V4yeVPnp0L9k4klcnuiQ
HpUlO+mb5dcclrhjaXc5bfmhN4tju9UnSOUH3r6bLdZpsfKPzTrji9Tjrxj/wzIvlkeailyWyOj9
isGvl7X/eGTG+kTZrxj8gU4s+2m29wPaLaj7H/x9y3tDe/LVu/NFnmApj7dLl96Rnnv7BZNFeHr2
CZZzE5Qd/o+VfyzxDrIgPWwY4ZEc32og7xY5Dumh86V3Ws/eBsxlB75dxnHRRJvFyTWhB7fJDn+3
Sp6W7y6LF7ati3fLDv85qd7YiH0o+dd8wcuN2MdoZYe/R/rLolgeuRR95E9+7Pr4VtnH0mTHfatP
s+TV5ssyX2PZ9kdFaCsAHyLsJTvhH7WRlZz0j1s4yA6+LMp3r06+yxjKyuWffvGYxIV/5Ln1xV/S
Y8MGTG+L/ctr36ZFr779D96yPa9Fmp7ZI17Gn/bUGK/92XFwTfzGY7Rc5P/4fwAAAP//</cx:binary>
              </cx:geoCache>
            </cx:geography>
          </cx:layoutPr>
          <cx:valueColors>
            <cx:minColor>
              <a:schemeClr val="accent1"/>
            </cx:minColor>
            <cx:midColor>
              <a:schemeClr val="bg2"/>
            </cx:midColor>
            <cx:maxColor>
              <a:srgbClr val="EE0000"/>
            </cx:maxColor>
          </cx:valueColors>
          <cx:valueColorPositions count="3">
            <cx:midPosition>
              <cx:number val="0"/>
            </cx:midPosition>
          </cx:valueColorPositions>
        </cx:series>
      </cx:plotAreaRegion>
    </cx:plotArea>
  </cx:chart>
  <cx:spPr>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plotSurface>
          <cx:spPr>
            <a:ln>
              <a:noFill/>
            </a:ln>
          </cx:spPr>
        </cx:plotSurface>
        <cx:series layoutId="regionMap" uniqueId="{23639CE3-7CEC-4098-914E-8BF3BAE9DB94}">
          <cx:tx>
            <cx:txData>
              <cx:f>_xlchart.v5.6</cx:f>
              <cx:v>Empleados por 100 capita</cx:v>
            </cx:txData>
          </cx:tx>
          <cx:dataId val="0"/>
          <cx:layoutPr>
            <cx:geography cultureLanguage="es-MX" cultureRegion="DO" attribution="Con tecnología de Bing">
              <cx:geoCache provider="{E9337A44-BEBE-4D9F-B70C-5C5E7DAFC167}">
                <cx:binary>1H3pdts4tu6rZOX3pYsAQQLo1dVrFSnJsuUpjuMMf7gUD5wJkuD8Ruf3fYTzYveTp9iMKna6fe69
VtfqqkSCsIkPe/r2BvTPi/4fF+nVunrXZ2mu/3HR//k+rOviH3/8oS/Cq2ytd7LoolJaXdc7Fyr7
Q11fRxdXf1xW6y7Kgz+oSdgfF+G6qq/69//6J74tuFIH6mJdRyr/0FxVw+mVbtJa/+K9rW+9W19m
UT6LdF1FFzX58/15VAVRHq3fv7vK66gezobi6s/3Tz71/t0f0+/6ad53KUSrm0uMtfiOTaiQlsPl
zUu8f5eqPLh72+Bix5HCZJYgt+/b93MfrTOMf4lEN/KsLy+rK63xSDf/fjzyifx446/37y5Uk9eb
dQuwhH++n+t6fan0u095hH+9fxdp5d1+wlObp/j08eax/3i69P/65+QvsBCTv3mEznTVnnvrJ3AW
qaqiy1fEhoodW9o2YZZ5+yJPsRF0hwluMSruPmA9xeYFAm2H5mHgBJnFwash8xSpRxuSiB3LsWz8
w7Y+tOPs2A4lTJr27fv0f/qh72Gd7MkTKHat3p1GF+rnDXly+v/BhjxSVR2+m60TVb/irmR8hzHH
MgWxbi2CfLoriWnuMEdalN5ZDLx/a61uLcatPO8ur9J3GwGv7t/dZsu2b8+fv2GyT49mr7ZPJ/bi
f9aCHK6rIV3nl79akt8072JH2pRb9gQk7uxwk1BpSXYL4sR0vESS7eD8GDkB5fCNgrJa53oNn/Nq
HlfAajNOJedbDZyEARQmESZAu3nx+7lv9ed5ebYDcz9uAssKrnNi2d6Et/0rXX9fZ69o1yy6wx2H
UUqx4I9DIOHsCGZaFjXpg8F7bNBeIMl2RB4GTiD56/Xc7P9V83Xrb7x1pdIof01k7B3bkha3LfNB
Ix4DxOUOEbYlHMe51SjnqcbcS/Sf+Jxt3zGB7ch7m5p0dNW9O7zqb+KYVzNybIdRYnHC7iCBf3kM
GTGdHWIKSyKMeArWUXPVqneH//1fzwm0Xacmw6cQHb5NiP6qolG9qkqxHTh/SgUC6Xsn8wQfQnZg
DG3p2LcATlB6gUDb8XkYOEHmr29vE5nTEAnouz39umEbw+pTQaUt7jzONCsnyNqFMDcI3bygXo9d
0kul2o7R09EToE733iZQnkIeBxLhfqG2pRu/H1tLYdsmo1sDOWLCbzEukM7eT3obwb1ElO3I/Bg5
QcU7fpuo/FUlrx1esx0oDaJncqcaE9WRIE0sSWzbFreoTQitl0i0HZwfIyfg/AUy4C2G2OdXVaby
+n7z/ucaw9iOyW2K/03CAU7hbagjHUQEN68JKC+QZDsmDwMnkJyfvU1IDiOtVVNFr4eJteHbOJSB
gbjZvMCnPY4ENvrCOSK5ezpnAs1LJNqOzY+RE3AO36gx89ZpdK2q1+bnqc0cRxJ5Cw8CscfwECJ3
HMIpIu07uu1+a9z5mhfJtB2gx88zgcj7623qj6fy/Oqiji6a1zRriMa4TWzLuqOkJxjBunFLINam
E915oTR/g87jR5nC82bNG+DRr0tXOzsWk6ihICa4eU3AkWyHSBRQkAw91ZzD6AWybIfm0dAJMIdH
b1NvZlfpultXV/dL9J/HApbcMU3BHXpPc04ZahtVBOEwi9zlQBPdeYlE29H5MXICzmz+NsHZvVIo
C69fERuEYwwGC3qzVWeEhRIQszgz73RqkuC8QKDt0DwMnCCz+0bdzd7lOnzFjBPxsyWkyem9r5/k
NoSwHccGUyrMibY8K8h2PO6GTdDYm71NPdkQnct1Vugwek1LxqwdR9gOkffuf5rcbMIDGDpp3oVw
E0ezoSzXLxNsO0o/fcEEr6Pl28RrL0UdQUX69QwbM3cIlIeBtLnNMycKJFBJYAK9B+KOPIBTesyr
vUSi7Rj9GDkBZ++NFnv28sto/aqUtNxBkiPBD/xwKo8zHZThEEKD85R3UTabYPO8QH8Dzf3AKTJv
NFbbU90rxgKMgrNhjs3ZXT/OxLpJa2eDh0PMu/cnxbfnpPkbTG6eYQrIG40CVjAhzUUy3O/XVwie
0bWHrg6KCPkpHSBsKAkaC9Chc2vgJkryElG2I/Jj5ASV1de36V2Ow+g1QzM0PYFURqp519UxURP0
6nETEYK4p9EmnuU5abaDcjtqAsjxG3X3B6qJ9Cv7FHNHCuQwDqKz29dTdZEExQIiUAe9iwcm6nLw
Aom2I/Nj5ASdgzdixJ4pWDxuFHjy0d/tP5ZwHxa8i7VdbyRoArIpod03qk0QmvYq/b1c23Gajn/y
LG+k8fhwHeWvyMwwG4zZpvh/z8xM+qEcuUOJQxjCgq0+5llxtiNxN2yiLodvlJM5jC7CKFjnr+fz
kfwLzrjk9534P7t+jgYptPHf2bpJIPYSif4GmYdnmYKz9zZd/+Fa6/VF2Oirun7N7JLuoBIDWgw4
bKOaObo60LVuWWLS0vlief4Gn6ePMwXpjTicJ2LjrMuGrdm/qvTVK8bNm/wfPWfStrYXOzn4My5s
HOi5Cxcm3uaWaXlequ04PR395HnxuPtvVJdQkd78UxTR69m6TS8uRXXggYZBtPyEC0DRE6dA0Hlz
13rzk617kVDbYdrUpR+eaILS4ce3idLnSF+oXEev648QlUGVnLvY+WeMkKHi/JLcfjrpRSJtR+jR
0Ak+n/feJj5nV/2rnjEgKJ5ZggmyvYCDqNpCQzuOINy1tCOWeMxzPivOdlzuhk0wOfvyNjE5RO/T
qzKcODkF528TicLZzWvCERATZo3hOKZjTfzOC0TZjsjDwAkmh2dvE5Ozq01RXl+9Yrpj2TjeATUw
0U9785o0QIF3tpiFJpy/Kd+8SKTt6DwaOsHn7I1yz0dX36u1Tl6Tf0b1DN1NFipoW+GBKQPDs7Fj
d/BNKp8vkWg7Oj9GTsA5eqM56XGSohz9qmem0OEsLJDNdyUZkzyN0yR4apzyME1+d7ocMcJjP/MS
ibaD82PkBJzj1du0bEcoAr/m4XH01+AUNQOLs73USYiDGBqnpvid3QN0j6F5Xp7twNyPm8BydP5W
YenefVVVcr84/3ntBgU1HLulbHOg8OY1iQK4jbMfpomGgjt6bZLb3GaRz8n0N+DctBrcjp0C9PVt
AnRcXQXqNdMaC/AIdJ5ZdxW0SVpDqLmDswOEWBOF2Qjy3//7l5JsB+Vh4ASR49O3ichH1eDagfsD
k6+nOBaQMVEHoPdJzURxhIliDlrSCHqib14TxbmX6OYY6Mem+pVk25H6+RsmkH303iZkJwir9ZC2
61ftXQfbJiRa1+8CM3MaHXC+IywhNgfhbwGbZKEvlWo7WE9HT4A6+ettAnWrW69+pQdO61rwN2hT
uwViUvEBibBDLRPtoM4kMX10Fce/pVHT8ROYPs7eJkyf6nX4K/PymwcNEcqhrIAWwrswe5KhwuBt
aGvcXOBMTN5zcmzXnNtREyg+vVHG4PMa7Z55UL9qjIArcBAA2Fz8jb7cxAhoob4/VDUJFV4m03Zw
Ho+dQPT5jRq1z1e6fveSi8R+U21wdRmjAAn33Ny8JlYN8YIDXgH1oDuSFPHE4wzoXqJ3xxcX0SXe
Waf3H9iWBWyHa+uXTHF7o7nR50HherrgV4vye4htUiMpcRD0b87ugudB7E2Q1Jp3EcP93LeH3V4g
0HaUHgZOkfl/lRRN7m15dBfdw2V+s3W9nt/cAvjid28eHncTTobe7fptm/rurb1L3BToOALe/+F2
wc2XPNGXR1WZWzV6NOpqres/3xubq3RMuDGCI8AgHqQJf9VB+/EWzpkKQdAlL3HXIOMo771/l28u
MPvz/YY3F2h2xI1jYGpxGBVi6E2SgbdwOhXnHVDRhaqbQkLC+4c8UemAzPBhve7+/C5vshMV5bX+
8z2mKG4/tRGV4aARzvFZJnJzfBtBBoj3L9an2OP4MPlflJhh0tihs5KBqpZVRvoTm+TVchyGZPTq
StvrRwv0wgk5RQENvYOmQAT2dMIET13QIrNXFrqiZ6Ttot1RNv2Jk4pyGQyagCZ+AGTLfOBCf3pA
NPPexNuIvKn5dD4ZO6OWlLMVV6GzjiUmsOKYnGm7jXZ/PRVi9+lUgBpY27hBZNOQ+nSqKuzCoEkI
WyVZZ68jHldLux6jwnVoQI7qcZTnPInJUeXbPRLh33xK7CTcnQFmC8UWMoGxK5N2MI2KrTSN2V4u
CkJdw87FLGuDPEMK96vJCHz59EGxA4mkYGzAG2x05PGm6VWqM95HbNUpBxPxojJbt4vNNPLamseB
m1txEe5nfa+FN1Rhq78wotJw1qeR4Zk0lzgh8CuJfgYZTDkuQ0ImzB2O2yGfChST0G/SwGcr0TE8
rszKaNc0EvzfvzcXIVAagi2MjTPZUEFsmWk4DGxl6Y4cNczQl7zO+tMmpgVs668ea7OOT5XTwT2r
Amc3uInj6jaC4MfrHNVFZTiqYavWD6811XLe0Mx4Bs1tawcjBAIBk8FKTcA025jxmqZsNSZarWLR
hoUrnMLwyJgYkfvrJyKb1Zk+koXixqbghyUUE6SEb5F2NIi1immUZDOrxZzEN7TjppUuvooysdfM
GaCkkexPh7C29oLWt/aeEePnHezggleTmhtVRUvFRAyfEur7TsJWvajpvpXkxHBLX4qDwtDYoaXM
snmS0Mpxh7EZyOxGee1CR7uwINXy19JsQwBnC9HuuUEaTaFPYU5S6fRZUkB5W78/BYHauV3eqBUr
Kjn//akclMltghgRFb7JjuoLUamKl9YqsrG8UgZQWSPtYeqFAyR+PdlT3wLzjfMTOLonGTzL5nze
ZLIirFValoWx7w9mPLqGURVfcystvo6d6E/afIB1+PWMZIPbj+21mRKXz3ATjhu7maEa8HQpi2Rk
CLW43Df9KtplIjdSV1e6P3U6oz+NtA9cLXvsT0IR07MogEplfa1W3MiLbiYip1yOJdzfjQWpWVJo
bAAaja4fGiOZRUQ9t0hoHnkqMxw/39z0Zjug+ixEghP4c9HHrM8stq9TM1uYYzguVOQYi4DopHGV
mQ194KVpXCnfU3ExOHN05TsfqspIs/kQp5DRz3wA6dtBfTlaWX3Z0wRbV4Yj9IqWBiyvWcWkdW3S
JYFLAsnWZSj609Qpq6UZY1hlOtYeHzBupmNq7XU0Lr/WLVcrETBrv4qxgO6QxMNJEKVGNXfQanFe
j6ERe6H0S7Ik2sZXax5W3SyToZN4aRX5lhs0keXspnmJOQRW2tHhcFKWINBc1jIauk1UkCMdKuyQ
gpHi66B4Pe4a/iid/a6w1ErXQVbNhork4X6ShvVlEqflV17ktNjPSDScEoGoxaC10bpjkQTRNzJI
QMZHy0kStxOdf16mCnuvTpx1ElHsdhZTez0QqS81KTYeum3tdTYk9KIYfbpsS16eVk6d7dodLz0e
Bax1YX9b2+2kDQ9DBkLODKuEkvZCHDA/MTyrZ1hRP/LPB0ajXd+y9GWlazEzFCVn9UixPrLz+anW
wXhOW1tfFpIBp8zp5DnpK32ZZAGlrmPVcj5qn1ieGCp53hQDPmX4g7Un/RzfksUDORtrrBtrTF3e
etQcnnpRaCe13CELq3gZsL5O3YFz7GwWOmxws3wY+X64CUyMmPcnQZnJAzOm/WmiBqefp6ZhODM7
T8lRGZXYNYll2mvuJFjNIY6L2muVGHKvNX3u7Bcbe2m0vNS7mrVlukt7CmHAISTZvKrhFx0VQv+U
GQzBPBsFOQqNLAWUdlYLz1ei7GZ8YPA3deL7qUtyC3u5jQ15rk0fXyvqRsx6w+pPCiLgi+qaJ/1i
SOGX3Tq3qeUVVjAejjwdA49Emb1uVWmvnbCR1NV5JdOZPZDqY2CNdDmOXcBnNHDYt7xt8zMxRsNh
WrbprNS9Im5spEQsSGRW+1Gq2r0gHTCNTvve6/JRNTNT+85Zmo5R55qOyBOX2/FwJHBgfJWxUBVu
lkjpRba2vN42mDfk43CW4FLneaPCothPzCFCZOQkoTuaOv9QF1rkbuw32ZWyq/pasFHtoTGgOcIV
dU3uDX3s916TwDJ5YwrD1ZlFhUUwhuKLkyaVXmh7cC76kZOZrvP8QGmzChYm6p+dK5simpFY5but
atSRjFvSefmow2+BZdguV3VxODihs1vmg78iQ83LXaE752sRZfViyIvxmxN0at9iWTC4fcfGb3la
JnPbpqOnSQsYhW+3XpJ0+be4iHk9y9tQzxKz4rubYFS7vC81nVVVZsxLxIBui+BlkQlabwyT7+bK
9E+bRBt7eVIWe3EV6sVgN8OVH6huHhqR8WGQKvsSJS3z0iGv3SKPEjcudeTypFrzmkE/otGY+TQL
vaatyCIrFL5IGEesD02Yf8tXyk0qKyQzh6eWqr2klLg62K1ALgZqg3zRHSDSFUtqkcGe5VHbucz3
MRFLpT9jTRDuCVVoD3fdh7NRDcacZqr5VCROWXhtrheNnQxeHpoXKdfqi0wj6kaS9Att+NasSSGH
9OvsA7zSmAD4MTxwWNm5RWACUR7Q+EBxmZ+YdVOcpLrGpjYcRGTrwa/JkUFjqITWyBjmqqhpvHJ6
HwE2tfq69GBt68ugMmGQ1CjJ2WCO2LJm3crzijd9MBdNb5vzJAr73K1VabZuxv109KhtqK8+Yf1J
2peGx4e0WtZawh+LxvYjN6VMrVSVbr6N9IXeTaIaJgjWGIFZoWBte+RRWscI4Zx2JGdtwaD6TWiX
S9azuF/aJCm+FgW2rad4q7SbpHn6laoyQDwXNp1LLEUVdD7URfbNjkNRXA9Fy1zd8tqfp7zW8zxm
3VUmujLw7MSwP0vHl3tVKPUyVUMQunkfRI2bkjj8rtt6HRe2NbdZFASeP8B8fElHozE+RmOhrKWg
oThqqzjynDRK5mHXlcvYcMbFIPLi0yiDjLtoYus+tXaVnTpBcU3T8UuPk9XHSU3rJewqTz0qq2bO
moJeBnUYXI5R1H0MGg7koPHxvGyTQLos4N3otmGUDG6Zar7v2Ljcf9Z3aZF52oEd95JGB92ylr25
YqUaDktdW6fO2EeGW2VJQ1wHKMQegh15buRtn897UqeHfVWx4zEa0+OSsOY0i0TpVYroC9Ya6VzV
o/VdSadd1U4xUtf2aeS4WliRl4RV6HbN2Ek3K1OYC+nbszgTbH/o2u9+YXQfuzpIPpCmMQ+rKLC/
JZ2TBF6VhhK+MieRWw5WcCTZEB1WvW3tG7KTjhu2gV7TqCtWGUjHeR7ZzYo4puG7rNZZtUtg8hYG
gtl21hNKfTdiPu8XYZpbZ05SFMs2t8aPRRT6B+bQjB/q0FSubIPuK35bomzmptYs2u+jvrc9oUzD
cYXfieTI6c2u2JU47rBElmscxHxUn8yootIzkibLXWpwM1k22DxHHTz8NWlLfdgURbvbwxGu8lhn
6ayQoa9dRZBehDBuuwnzSeQViCwML2h5+yGgbWe5eezbBfZlWn1N+tpycaG5fdBHFGbUMgdZe2XR
5t2MZlXje2mu6GHNh9F2B1kSMRcpZzCIpLtS1Gn8hTTKcREUAdtjrKRzK3XGpW54dKozUn5qyKDP
RTqweduPiTfGfeQm3GEuM8OQuP0Y85lVdDzyiD+Gl2ZWww/V5tB6vtFG6YxhqU7aEXlKno688mzl
R8fU5P0ns+qMQzuqrcCNrNJaCMOquJsXub0oNbc7T9FI6t0Ge/faT8P+cyGs+qKzfX7ZObUTLczC
abSnU2KnXqxSXrm+sNT1WI9lNKvCcWiWvC6u7bAPTnScWfBy+JWPfavrQ+UqlZezsI/KwWW8qrwE
3vnYSLt4Tk3Hr2cyQMwejEPfu2aoeOjaDavFKmnMwTUYb7+EzqAajwdjfGxyn5uuX+TpcS7TtHZz
2hsfQsMCaikIJLbMii7tm/M+LHuf3Wawd+zjyW0yccugXSgEVlEQ3v2KycMf/3WmMvxz88MaP/5y
8yMoP/6Eo0e3v57yy0/h8pcNjaunH9pI8/BdPy7g3/CPD7/nMWE0b39v5Z4J/J03X8aFIlVmqBY8
0Bc/caFbT/RsSMa7kXd8KI7SSQreDwyKDQ4JPOADH8o35+pxEwXSuNs2LmTt93zohioFCwp+B5eP
gsZD4nfPhxIUasFjmptrR3HrFQjW+1V4giZI4Ls/P+ZDn+biNr6agCpECEDw35BukrNKa3CMpDCK
pYjS61AFctcQCnZLICl/tDovnAlNT2AhOJIlJONPU9U0Zzkbe4KZ6Ni5mVl8K3LVu50fNs9kxdue
CXPgUALu4GdMbN5/xPEGNZKpqkiKZd0ljec35rFus9h1yvH8tx8J3Q2UmTam29zZ83SilqdEqmos
loNOrpM0ufaN6DrGv/+daWzBCAfiP2FUO8hrQ7svlr7RybkUZenq0Em9pI/+jaXDXpX4zRnw5Giz
mfAJQWFmTIV4otbPqoPebBLXV1QcVHn8zENtvukRc7HZeMKhVFLghJ6DKafK20wYteyKJUKTxHWa
4XQI+nNiDOdF24rZr1dwQpPcTgaSZFNCR8/XlCYxiK2gm6pYylKLGYerXsai9F1lRGtTBJkXscpy
CULQ39+KmwvOcLc9BynvTNXLqVRD0zAvlkUZKbRXlJZrSyM5N2L816+fcbPZflpQm+OXgkD+m9Dq
p5txbOJmiFRWLI0GJEeGJHoeU9P/+OtZtuiWwE0hD7NsiMZHuoVWH8ReTYpZZG+vaNWft1mX7+fV
v7d0j2aa2IsuyULV5pgpTJth5vTxelQGXPHz6rW5OWuydKgqCYGdAfIOPw4x2fXKz2yRqSJbFi1V
s8JsjcQdiro/GVk2zKVvqhmRSLdKHIVamlWvZnGK8M8qWb7flrbjeJ3i/Vz0QYP4NO8ueBhlHo8R
aOEuCbJoeHI9CAZqdyTtYcG171bFDVclVemqAh8ZQj+bm0lHvQYeY4lcMvsALoR+TjhFluzH/rc2
a4dZl/X20t+kVmrI5W4XYz8nvHcCTw+NkblJ3otZWyLcquswnzdIQ+Y15fnH2ojZvinH7qL0YeVJ
7UB2h2CWGLlPJ3QLZouLUM0Hlprf4yQ0vEhDHoOCPct8PHTS1sVCyaA4DuioZrXNbMdrLd+PXdKk
sndLEDm7jl8Vi9L0+3lcgs4ACWp4mYmnGzMYrgyZs8frnHo+h3EJ8VtocwcEhpfznizqsEDO2kpi
7bMM9aq4GkGXm7WaiU2JQ0hUA3hq0s9B2NqrPiDxt0Co9NzpUPsotVV8LZ2Mfvbx7IXLO7BrRcaa
ETK14FtCXiB6tawBuo6wGASLwar0XHfCXglDZx8MI6q/+ViaVRiXxbHTxNcmAaZN7NDPmYiue935
H2sHvEW3MY0hbvJdDSlVyaJKTRBVuHIqDU/iyOlPEcki5CV4Wr/Not02AE+FMCAKkWw2+X4UWMJy
kW5HR4FVyOPYCfJrx5DkiKgYi9ikdj6jRieEe7PtUx2w/dH0xUHoYMmSCIvgN2HsjSwcvKwsAhA8
FI8U8Cj5JsceLrbs1My3wzibpXWrRuTMlZPuRjk1i0PStIWcOaGPUBP5kJxT0iIdztWG+3LMvDow
VDR+FkZun/V5kl1THqp9POOAgjUsJ8pTSH1jIs8R5pMzK1fYP3Zl2pFXMbtNwHmErVo0PRi3qi8s
V0oKCGq/T2y3p0WgXCMAiWjGDtivsoLaMXM0vJbBxY2DFLu1VbSNa6ddEZ7XuRG0u43I47XsqLGQ
OfTI4YoguJdtuntTSOgq2X4ZqzHZtYumThedUdFoERfgv+djLJLSrZCFNq7TJ+T7KAt9SUfoFkOC
SmZpZ+tPSMWLr0HM7NUNQ5D1CsJWjWHtg3yPhhnrUM4jCZCwwyD5VgY03+/9IJ9XvaZeUsXXVITy
wEfdeR+CkAUJsmFmDBrEX5g54VGQyH7eBKncjQ0g1FhwfY0FqxaKSsxsMMsf47ZqkllY9OFVXkh7
mSdO626Yq/GAkeZLoYd218pUVoHywkZAaSHf71h0rf2odEujNsFWpbuyCq7qpuKzUPcf85Iua9V+
b8Ih2s9yh84bv3BWcIX8Q9hAKUkOsUyStodtjRJMkEDPmah9lxY8+SxIMa5M2S8yEI9eMPbgRbMu
0YmbRHHkWnWKTQ2riCJDWgyzvInlsYWgclEa0PqkSYdZ2xa+a+l4mI8VrFvW1e0u2fjdguG5aRav
I22IY9HF9jpFEfWD1YIMUkFHzmLmW/t9gx2VwKB+a6SfemY6qFmb4/FtPUKNMlHK4zpvugttVGnl
Bho2J2SJ+ECcqkQuma5tG4Zyw815TmjwD2PUJy6tqmHm8zL3XdtqxAdfJdUB6RpYsptIq5FVuYsa
RTOLhxhGjDZq5nSYulLoHYi0qD00MncXoZ3vITvL3UBqEzvYpPMqSo+tolaLsLMEQMiKY11u4mqQ
QKsUFDwseRk2kZsR5iUcqxP5EoUEpyHzG6vbhdHXOhHkyuxgrdrNHrHBdh0lfh0dxXYfLNohjGHj
EEmg0lTbR3FgLzSLR3DWFfVsa4RFrFXvtaOjPkU9Vmjkfj7rTaTJKOJ2XgOEYzc1q2oZwBuA0wp8
lMXyfN8fm+yDbmB7jADWo5NQ+qTNsOZSNQsrtks3yNvoyPKp+V2Spl61BrLkRDXHItEpyCOz3Y1D
JXczGRiH+OnLYyuy2i9GHOvjoQ/rQz8eP0em1X0WySBmYlAoXo3EXo4oZMzzsMyOC6PyT9LkKy+r
bBZZ4bUK/MBjdfQJ+nxetWawpEIZ8zDISq82reKYDZqCfR+CDefx3bBV41IOp5dIeEMjCtPzMofl
rXJYHDMT5CwySaG8EZAWt0bWYbpYjMBggdyrcxOn5x78NgoAA/LrZYYThNVuHkqXkrDoXDCIce4O
aQpjFiPJK7FFYoliSWAme3lXmtIVBQcHnlSbgk5bjpWbFlaUuVZQ1iYIq67M3CKjn3RGs/2utLJ9
FIPMwlOiKfetVDezhmQDTWd+2SvurIaO9tkI55NWsH8Z7/zTknZRNzOTODR2WdRm4X4XS6vtXZr5
rdhnbaNy13cadMl5iMWrxnFHWfFrPYCDdEWbZFeF7aBIFgV8rxe8IF43yEojugGVCsIYdn0QPBki
dMfU9Unu8MCtYtbIxtMiiOd1EVZsNloNaUH3Ef1NJGZSe6pPP3ax1aduQZwAEcLgs8gt+NDu52mc
zKLC/M5EsyziOHaNwcpcZhvhgoL3mMFwtB9sOzYOiZUb8azmWQ9fTYdd6Cm1XBXrwW1SUS9p2dTz
vvTXSWgnc97RBASLEjPFS/Ilq2l/1MBHg0gCazzLGW0MT6bWeAR1DS6ClJPGTYg23JT3EqGlYexF
YJDFggcZ7BtzYL5ZgOgE2RJDlZrJ1J4VeOBl0nSgesVgt8801ZBNXPskjscVosj90f5moyUYd74/
jbD1OAas0Wa6LOFAZw7t2sM6aEzuigpxQo3Q8miwjDB06Yi4IpHVhrmm9qq2siByiXwuUUML5c/y
gCEgHA0MSHYnSS4Y+wA6AHnQLHUOfmpVJbCpoOTWedqc+gPc3K9TjJ8yw023JlJDhitw0XxrbpK5
RykGamt2FnRFiqokgrDcb3w4KBD2eR6qlcEG9VxzxE/h/2ZCbm96iSTOzItJ5pRXCHCYk6QwKCWq
vrASCj/Ym7fFLK6ydW0oOU90iHjQFh3K+HA7nRqJsxvSjixCkhqen6T2Wo0l6FYNv/7r9bC2yYcj
46juo1kCTNIkPSn6SBmCNckyzDK237Q6u1ZWCZ3q/g97Z7Yct6416VfpF2AHB3C6JWvQ7EGWfls3
CMn24UwC4Myn74+Wz4lt+Q87zn3vi13hUlWRBIGFtXJlJoe5t5skEyTbNR3zMslLZ7ib9p6oU3HG
yiHRLrgIUpn2KnJ1dFhdKk+8Puih1OvoX9O6jW9aU5qbKoAdMEya9vAwSv8ik0Rlb6FwPYqwkfee
sMUztLptSmL+d44sJ/ywSqy9Erku9aNdFOXTj12xbe04Suetot3957F4w6cBo+Je+WSUu+EbT859
y6fJxlmW7F7VxRDQFvKtvkuGpczS2ROfdRFaFxZpYxKVuXvyTeynmRlwZfkPyvf+dSX+EzH7rc5G
2hdErs+JuNAX3lJphjWYA1U4xUVMvX32ray7VmL+Wxj4DbHgKAAV0Iagd4W/EdzGYpxkgHPuRSBI
noOMwNWqAOzdjakzgqqj611SPOQVSe+fL9Dd5/uvEYgUZae+OzEUePgavy7A1anEZOo5vxD9nMmL
WnTxjSVl/NSMpMZ9N/vru9jy48dWrI9VvOp/Wcqfj8M6+VkKSz8v9nhrBrpBY+Qds0GRTooKumWf
xTf0aPtvWjpyuLRkT+H64+z/P179yt39+s+nZv+bGv0Ddd4D83/m8W9oNY/VHr5/+z/3w/Pwvf/t
e//GqoP/S6D3wHf+Ay3/5O46POCCEEQwxuCSh5Xs6+4nVI3lFQ9yBpn0fj7+4idOzVOeefwcVhgx
rEEiOc/c/C9was/7ZVLuR0SWGcPmB55Bvfl22dH1NC1sHv97xMwZqVeVUCTFtpqK7dH3R1U9C8v4
/anVa7+KA3s/rZnU6qT9krVG0OPq3KUKr+LcX8dDFVutvpjjpu5va79R1pp01eKrF78aSrAOKwjq
0kszYD3ne7h06/iRJlFYP0eRr+RXr/F0cJcFhWZ1QsrpORWhaKW+y4Er5vaQ1b6pVMJaaZobJ1w1
p5w1jbNeu40HmGr1045m/eOW/i+h6detGj9YsGGx86R3SR7D9XardppizIM8+i7nri31xdCIWrB+
p96EF1ufDQXMikLxiJvaloUr/7Jxv0ldOP7+FCFY3EAX3KnfgOqt9CJS/6D4VjqVV5EwdiCj+V76
W7o8mWUmGtM6GzKRk85Zm2rfz8IjbU8dQRruXQF1t+RdXac949wR/mFU/GWMfs0uBFw5j7YKUwgq
NjZ64RtYcckLy82NZ30LLIoI95BtYRbqUx2JwbOT1gxB8FT5NtHpv7o3+3HhO4YuAi+Xh5G8Pa4a
4Xl1lhd9y1bmXJBMtqr7z7mQbpvBJS7GglQnH4YhyfMOGdhfNs741+XD4UP6OzzxAc4lMrK3MT2D
/W3ZS+59s8IaPmTqz3bgP7OQrOGy24qwvissp3NuvUqv433V2xA36DIUNYPy54H4/UyiMArwkyDb
siGBvsm28jCXdbna5psIZpbcaXWCzanYreexF8cikiJ4MiNDQJeDhCh46mj3gkpMRWer+S935dfU
itnADkuDyAfTZisn4f51q6PPa5dr1cqvMt5a35w7rRq5HgEu+ng9r5FZmCJ/vn7nTSTjmDFdsB8L
lT7eb+lmFm+lH6vBeuEZBmFjXSxQK1gQpGh536XjXIpNpEXTr65KFvonDIRf2Pl436ighHpjOaa9
j5u8Me1B++T+H4FK2/7lz6f5awIiQnZ+GP02XkU894jV8iaWkGdFxtbb8rKYwTAJwDtt7o+9zJ5v
JYvxJuteuZXeF80wd/tLobLxL/fnt8Ei26Vx4mEJDz4OnvzmNCLt9sPaB91LW/sWMbwketE+hHA1
rGgqYCpUz3028gzCpoQZUadGNQYgIbJKC8xI50TbPfKvOd9qoZJMMBgr1f1VI/B2WqNIp/Hi7h0m
7jBCml9n0uLNwHUtjJReuoHVHMuhV/X4Xm8DuXY66xVaamqFzcTfulU33XqIqm217mel5GUfm5os
ttk2Cqwm1y3gW4u2hq7K6NtW/TEASdmavYLfoUbXghHZXtlbXPOrVQGQoP+yTJ03lHEuhcfy7LRi
VJB7qv0mC2RmtnqiCHoK/c4v/VTZuCrqRMoxjg1k+dAitMv1NXrWo+Bv449wohyIEjkcusEL9Gmc
vb+vIfE2ipMXk4z45Kf0wlm7b6ZFtVR9I+EgPinDKtJHr68icQss463oFMaV4YjlVG+PTb6sa5iM
0HR1DpHTnYOPmd6kRTkLWPZorLEP7iBC7wnCIqYGbBaB0H57ut6LmULrFPrTR2XKanvc6qACsrVr
eBcUVow+N6hr45w3aSuQiUSIQLh3HlRJXvrNziDEKjiS/SmAosa3KlhcJBj6x+HjKLPWOYm6peQn
OpIHzryw2j03GJTfVM9LH7RanWLoftO98LptuDGmkiBJdWPcJrUy2Sw793XOvrRRK8XjZE8OkyyM
MvKMSbcdKcqfY8PbqLlXJfj9UNlRHKBqeDM1PLm2mROr+mlzmt5k4Pl2qPpk7uDJXHqjngkUfz7i
22iE7oSahI4xhAf27rdH7I3d53PjzV+8bdwn4zyKPfy5fVixeQd7E+5JltBeQSbcceizW0qqkHn6
59Nw3165x/Pj3ZC9wudR8fAp31z55k2jtuKgeWzQ3cCNGrrRt753OtdEoxyWj3M0MuyK9zRTMiKO
yv0uO2aILqYuwdV/rqdkcDN9XcsouF88U0drgq4mmD4OkWUXqYas310ziew8KW0hKcaFBBNgsec2
87CbcrKLS1lWw77yJzCbd/vz7tWaeBA/l7/Voc6buBbteAjpBlfN1QJHvdmuq0DmQJl9+DCNrU0S
6xvjksQiamHeCpIscZE788K0XarY4yWj17SHukDtU9oby9mV93IJ9jddXWz03gvlenuI1FtP61PX
0y402fwVVvZBzjSz9l581LA6Q0ezjP5yE99ENvRFEGooTQLgBA+nkTehWntts3Vl6z5EQ+6xtgaV
7ScwWN64L90f6xgmy8q5yXzZlzixcg8pRmk2Git3SOOdxd/f6jSNkOc6LkNxUcDC4i29IhO7A7Hl
U0Xu7Ze4Zk3QnyorNN4JScrk9enKfsHl/uXS3lQAXBq9UeQnLBX4S+R7v+5CA62tsB679cHLpj1S
DUYztTZI3N3XwY4qF7waYuz2GLrtvj82VudwQ5agqensbU3gDNkp9qxxfiBLNQzHHJYes8+bNqJJ
W9D2n84Cauce3UbC5kXhqpmwNpCRcMBikDb/osZyGIomEwwFNPbcGlK/HkuWRB67Jf96HZ89FO5W
c/8pbP+XKujNGo1IF8iuwl1+yhM1f0t1nXlDUBVo69PUhODAp9f0Fj7sMlUplWWetX8LC2+2o/2Q
kDyQV7Et8cTut4WXXXZkrWoJP/WjwwwZVkypab9sA+MjSiU6/yhnq1v6BGhuZcDrCWHDc0PQY5Rm
s9TD+zDoI1me5CAiggELcvpoMMxlB2gsFv6wtGxUP29bpqHoz8lSQ+b1ElbRfjuyatlvhFUWDi/x
WsbTR7trOs7Er2jrPlbBsNepfx5ttLi/lhZc/L4JECR4NhlZ0NvKhnSwtzJ7WT/l+RrUEvCw8lQq
Z1uWd4G7CbMedW4CFSUxfKAyT4xBbXFl16O3+LQ/cm1dm6yxxK1scroUtK2X7Ktd1PbFLEcRwG9o
u/qbKOvNfGy6oDHP8+bU8zsxOfayHaKyjX2VavLHfjzNsx9Nd0bnMBaSoLEb58azjRMfWvQRTlou
w2gg/iyR3oBL28mIJc2WamIxTJuZ1zpZLL8U5Sl2nVHcB/Wwiiy1F2ecx7OK59yR5G8yGy6HPCQz
S8OtnreNspapqC6XapVjontVBqcpDjPv4DfWsn2aA/imj6NAtXnwxOA66Up92q1Ae7SRDnHhzlWa
+XV2gf34cNCdPW/XMm5t++zMDmhmZvVRbh9V1TXigbYDzfOHuLOX5dMyLN5wayGJsD6yY4TjN98E
gXnYQrSwXaK6DtL5h3jZ6uosC9CN09YJ+C5JDIro5mlotl5HL05TRu233FXdtByYKqv+Ho/DPNtp
VcMpLi8G2Wo/OlAH+HVwlo1VBXexE1pVdZ4C5fZ1/j2PWm9glBdk3kbcbl43MaU3B6lj/sEL7CGw
j20rlAovaeTSkrtp/aXS2bGcsmGebqDfZkVxkqKZR/+jbF1PXwalyLPoxFwJvCpR02azrdd9VEDu
ziwR6OGQS7OV6+Wc9VZenOeiYbdJq3gWBNhJFaP/ubPGwO8vmRyzJQGLSVvQsiqyrjgZVi9agnc1
MCwvw+ubVlHU/I2GgeBwW9cL/bKNOnanqzIwKnMvnMWyQvqDpV+N4XlpS6epEx92FPui7VsFl5N5
PpvK8yJX9OFpSX/fz96ts5pV+L6UVjnXp7DyLFddViOUh+ldUHp+EScaoSKBKzSDn1ePYSaltV0L
UfeMlLVqQvYtUVvn/rXlSRPWN06hC6d+X5ZzGcnjXBIIsmNXYJRuUkLWfkorlHka03YGCUAfbFWV
dN7bwYZP/tmFyMDxmrKO44cxg2CYIhgJGVk3Ggt2kNSha86PcP6kLInWMPldRFY0ESkMcoRMwanM
533EvHqoeOn6fLDu2ybcQ76YhiwK03geOibA1pJvnIfYNHxOvV5qPvgbw6fLkP/YS3rJ0ercociE
jL/fHkeJ3PX/x6mXfZxbEZdgSegdDLfCaqsoF9+1pqDRJ1MUZFrpHDkrWrYiyn3Ac6b8qMfHoWxh
TTBeVr5153zchLPcRmW4n3LBnVbbfcDM4ggef9Iv0lr2CRYYzA2mK3+1eK+Om31opsnho2yxNI04
B6QxHDb9eT3GeJ5+AXDLeQ/qZhfcV76QsZfCbwEAohGaIxxAzvhj9kg0+/xkWFr7xclh/TEYI7PG
pD9z3Njf/P1fHrrDWw/uv3X/c6it14//e5BfPwdS4Fa3oasaTsBprXx6qQr6Fgb+j7dy0drdFo6V
uV5W2PcU4FkXJ/7rjeq2aWCqUXmPJrtsnXiV/t5QmtbgXdyMHaM0uU3NR1wFxmZSYA45xQmKrz3p
zRof4Uhah5mtX+LXEURSJLhC/XpNuVtQo6Wqa4PZuVjHaK/O7ddb+zo9AlpqjE8gCr5x9MN6v/gl
WHPmaeaY/TA5Ij/eXNH5hPnDZhViHK64Um8f3teJtI3ryFlykfuvOIXp+R6dD4/Z1Q/5fuqvA2pt
M13xtEMzJcKjZfttVV5uOM8s6pztIJJ9nIuxY03HZbYjH/3M/S2m0NUvtLdbpk8Ph3C/eIOoOXjX
g2XvP+hO+4uYsoiXukUXDDFr8/fzb8cgy+cHhPx1VpzaLOJ3c+05mXdR9WvoDNfe61wpyj4ewvPP
IUfaZjidpfAqfoQdoOPgpSoq9vnJ0VtgP5C5oWs/KOhAbZHafSY5OJojHmx+GGoFtlkDGADZcJvy
8TLssn05j+yvvFetY1BGp4pkcVmvvBhFYHcxCHS5dAxjUTdTIvsM2JDu0cjn80H3vJA0+vVdo0f+
vzYzuJ1vzw5QkQbLr++mapCAArMpObqTZ930GLRyoQqgg7zP/TkmlJenxdMuESYysD6jY92wxTbH
xWpl3F/6MVvV8sWGC0q8yequq6qLn3ByOdRoQE8jUptOfV1Fjzkn3IKc4TgjTGXN6C6qGbBezpXc
Hr086ubhQXtzPgcXw+ulL3HWM0SeQovCFVXZ3PvHYLMdotxgxD58qMP2WQNetU/xV/w06quZEXBG
d7/eoSiQm0EbWzWf1wXoo5UU9QauDPm0auMEyGINmltPOYZPIP7fa9jJH3vm1SvIAhWmNvI0ttpI
9zKTeuM34PTt0NvecAU11L6g9XaWTkXp2yDl7dp0oAlMHdpUMMahp0BXA4TPqgjixsELJJLiu34l
0pQnar198NAq71CBO0YVWHxZtxlfR+/DVX6ZSc+kdTXL3pjiLvbKHaTsRgLWbVhJLxg+CGCsVR4R
6Flrfgpm5df9AegCuncSAgIFTyLzHEpyNsOYm79ZYuOqgrbZt43Gl/t0M65xmHyvI1kOHUi0V9iw
ha7mzW9k+KHaxtm6NyTToAqb0nHwRLxlflmz2hiBUtj7NaCPsQj+lJc7SlXDj9yxgLjpZvUUxGuu
nRex1EF9FyBkXOVJuF0/WP+aC6dc5JEdzat91K/g31Ya1U5oHkEk52r4ZGe63CV2/urly8cZmqqn
v8VTMWn3Sy8joImzqcapQYrlbn31uIkRNWEysjssFPuO05FThtAPRmdkljdl7KYTb1rhBH2LztRy
+Hklr/dSqxKAOEVNsu6X9SPc1PW0x794zfZoQva/L96ib/ZPtD/Qe1nS14dS5NgWn1izdf+g9EAn
miOV+97bKGqpWMoZ2aK824bVUceShbqvyrjZ//JzypJTEolgvOx/eoXg93BqIY9boM6GieMaO3o/
5iGC2WS2WwB7sW4ydi9nuHR8KbOwJQC+p0/EiyAtGy71ZjO/hU3/4Q7ccj/zqqDT+PTzQHTr2dI0
U8W6f63Y2qLcQgSwrRrFh+o1YFWvQKNGysJssGq9g5C9CYwQhwYmGBS7XAeoIMfCV1zzMNPFm64K
N9vTuFwsHCOc6v20xh8Lzuoq9pFE+uO+yJW7txkP7bzsczKUaNiLxM/7tmmOOSp8Zu/rgIAD70Gv
wmOW3xW9Y5XXuevVYfQX4OtNQQ+WQ3xgBsM3CAPnN1g5HzC3AK927/OuCzjrMMsWVsPcEWY19GVO
op4AXvJkKvR+7n+p7n6t7fbD85gwvL9htvNAsLc4qxmXzpr7EKjqNTSWYMCcBXUAK+nPh3oDNLGa
8BCyORaQFf8P9rL+H7QfZI46kqSS/54jdrV0XaqVFOIdj8zaZ3cc5PtNHYuSO9wJI7hlP4Pjn8/l
VwjBh4AFKuRAdwpohzPP3V/PRU6eC3xbZvdIZAljhe/s+XgPYdY7bh2p89/G+fcDuvjRoOWKYhdw
MX6DK6JXhX4LS/6jXlo2iqxix8eeAikksOaPlf3nC3zLo+EKwW7RLTkuj6ukHfXmgEtdiqwd6uDj
z4gx5xBpc4jG3ur7p0X00QR1Gh3Vh3H21vLQjPgtPAnPEBqsfoOr9xdUzvl1pjPmlFL7kxo9pEfY
v71lYa2xbc3h6umP9euimsnrWOPLWEniehFNBbcgF+PKyow9NgdSCyvfTwSKtx7hvWoq+5PfeJ1v
JwuhZU0J9ZqPsz6kc1esHvVkOr/2s9RrmP3zsL69jdw4YeMRQccEx87obZeVfVcPiDOnu7yv9si0
/UiEVO+344fVikbxX/lA+TRAAozyuJH7f8ib3oCz4UI2woMvx7uf296S5bpMbEj8fgfbnafX/XfX
B+SPhRHXF2H4L34LB94sQaKnorx73ZZIkve7EVY166Lt9b5h/PmAex/nVyoS7SfBCkT4hszuLZ45
r9tSmM2vLsLWMpWfhg3C66fAsGD+tgR/PxS3LqLt9cOADo3xr2u+wVVhHbMgu3hNRSYfdIR55OqG
lz9f1U8qxj8uDKyQQ8UQZH405rEq+fVotk1fJizy/mw21877o+svOxthxLxp7P7Vby099LTrM7BV
NOxon50gGfC7cZprdmsoOFnaVQrk58YVYA/2+wY3nKy7WMkN/O5OLkXlLGsqXVpOX3qtG8ogU7qi
1cemHjd3SO3ODvrmEBkfqO3GW5zOC97Hr/28KqAY8d7JFo32cluhtomhzIxTUDhgInjjeBcUGmGB
ssQqFbfiZ4ISWnwtT/CD26cCGTqUwyT4EcZeS40K3QwtzxyitJ9SGu5pwDy5FgktMkPqhNYd+QAp
VjCGd15f78mc9RoBFc1RVrutImdDJd4PjbMlbW/itjgEKqxLzIN+Qh6abRNNwmsi8yODorM2M76b
jvZNPNQTyBK1RYUYQkUdh2wqqorpyqZbUWA/tDQ8QewMnl+X9YNH2ht7d8E6xALnDgT/OxjQTwac
dX2tw+J57T0k36jxgV1BYEK6DEmZD6hpU2tEygBRU2PY57vvYx2rcD5mmsWtP/lrPG3dJ/oNe0eL
HNB2g7tu6GkifIIkHYjsAAkJOsEpN9pxyrRxSDr/tVJ69tGVHyyz++T4yzpEd8BmUn1o47is3GPZ
9pZNJUzgWIYUF0Z66ce2W7m3h3lxN7MmtgUyMaWkZo6PcZ1Y5XxTxf3Qbwnt6Lmgmo4jQ1+0yO3+
DAd4mF8Cu6nW/CAFCXeLvUbbmM8tyIs1Jjj27S23n7FI0w/PgpuoIW6XpzavAxcx7mueBfC954mY
nOybzuvUqH9kg21YV5RsJoYRo5LJ2EHj7LqdLuQ0XCzKkrmypvgTQbyL7lUbW/WpKfzMR0qWzff+
WvjlYS1meS7E5F2gMdguG7NMFyAZ3cfQBG66xH5+FxZDbYMZT+aTZFJfiMzHtIPVl7+URtWfM7vA
wiJ20CxFtTecKXaBlNwWpZiyn7qK5djOKrgJ5kIdQpHn3F3bMidshsSx7Irx3VbWg31k7x6O0Wp7
NTM2aL7marx3HaGujbCy62bqh6PfA0HDfckusK6JD3k8Rx9ClWv6+qr4VvRaHupcZckq2vbgy1hf
ofRqTqts6QK3yhf89O5ShG9FeJr5ycuIeuwFmeJ4hvcgv+m4qs/V4tS4GsWlf8pLu7tXAmw+qYFo
+sTyuuxhXrbouUbvRSk/Np/myC2OtjvYV5iewejsLMu7EcB0JzP0PMCpDOUHwMMCvtLgxd8cWj3U
M45yPk5umRcntbbW0emb4WM/CQAHQsGhX5fxyuvNWiV+M2OJFMYyjz4XkxuvlzAQxq+9i6bs2I1q
oMwpmnxNJh64/T0a/LA5WNIyV00MHeEgnKH8sExeRZ3UdNd+Pzg6lagXn+2yVzdLKOzrPnD2GSr9
vYeaTfPVQjp7a4fVdAn6bV0VlZe7h4jo982ZZ69NNiybcspmZX2ZlZ6/a8taUrdwtmecXzoXRoGC
Prghxk5WpE51AmPKjAe1zdVyFYyZzhIUJdDznZBATEmVTrNXe1eYSNfqyizanFw1utd+jZwBpPfR
n9ev9ijlnXBYPlM/DgegRRsR39JMIV5OnQf1emjvVC7Ml1Ut5GQ27e2sT8YKDkS1O3Xh1WGNnnim
M90lnlu35w6gIHHxyviwOG31AQOyoUqrYcgedL7qz8jxGjfRy7ik0jGqTErOj45rBObGwlty7MIW
mO6x2+c1HkpT+Vw2Cj87HHweoSTrRKnJ+RDTRLhUronS0djyShSteO6jYLkpwfsn2g5i5KBySORo
aSrSMbsJIkSFGNhU8bPBsMQ+RORnZeKXvX4Pq7o6EegR06IBCi8Gp8vfw9OB2zHn5sHtWnWexsU5
l2oKno0nH2bq5IdNY7R11gq3r1I32feVATnnQziOR9LA9R49m4/aVmg6tlU24LYxTZdBXKmzJg91
kEv28UPcDvGLh0rxU2lk9zJt0/Z9ZIIf8INzbwXEgrPNTnHQix7uyS+txJ/b6cYyffW02XhOebWD
y00LnHyXr7ZgL1uISHZZROBBfhVc4J4qU9W35bnyR/MAt8vj/Cf3yrFb71QGXv8FXE6/j1u0Jc5a
x/dNY7brrC/1cQkJuZTBTXHXCnu4MqOY37e9NJ8MVqVfvQrhVuLqdboTa8PiAdN653jDeL2YcL4s
5sXDjwTt5FkGjThQHsOwBPaILzckVjdS5ubDhm7xIQI6+aK3aPjEhp9hNmDC282xBjhM2KHgDuXf
0OHGpG1oMBqLtrX1mO+mPW2Z1b2vgODfZ0undAozxD6ZGUM9NYwio7jethsTi/EaolIFOtB0n7Ao
ixtidrMcvbCKLhx6fumkNvEumjIPZN5Y3yzpwkG7WX2xFXG6NljqIN4fgbSjm8r3UGsebZ7rgyNK
HSt5M1sqew/KUt8hEmkf68E88x08+obCeewbMphyDMu7JS6hX/rKKa7iTrlPoyXHOa3z2b6F6jM+
FO40abQdtSfSOHfCayE7E51iu2njqyaP1IE+rsDwiH73IYo3jJTKbYixmvJke9dZ9PuvV0uHjHVg
z4O50fFEowe/O2e+bAXSNozzrA9hGxcqDRaD4jqPlfkIm3/CRw6rp/y6KaquOFim9SEhSulY53Dq
++0j5k1mzM976mEfYjRhdVcxat2cVVcVNbmpUyckc0n9ZpTTLWhJ2acos7JPM45Ba9rZdXADXU86
h9khRcQ5yQ+GR7+g+jPEEaMGPyBxytDbyotpCMIr313stvy0eat0EaIu2o7HK5dgZ19Ggo7AWeNV
Zg751PvjfYymF1mKi8LVJMaSWV2lloiX+8KDNZO4uag/dKtjbeeZQrNM7VC79s0cl0ubugYc/zas
CacHCHLboQPZuirdAQsrJ6yu8IFb+vJdvVpBvCGJbFp7aQ7gNE21s7SU6zfvhkGU0XBYgzKoXQB2
pF/HLqK9mY7O6jZHgU49v0EZU+JC2ALzptuw6DbxmpXGTziW1UVbCL87ZjQKb6sCmPSAkHu58DLh
RIcgsvMQSKw0zmWVYTGSqNEP18Sd6X4HgzvcoYpYwrQppcAPTlQeUByY3aODmvHbFJOaeEat7rnr
MDs8Ygzmjkg1gyW3upTePFS0OQnz4ONqCVzEUvTza1GnRFJESNw8q1iKrwQhHQXHXNUq8TPtLKiT
mtAJ86Nyl873bx1rCsYHmrmNvCh1JJ6zaXratjx7yHL1lMXKLxPKhOZ+httxlJE0Z5vNwyZIBIb2
V7hd12gO74xXjKcpN3GqtNrQ00PTxPSv8Zt709YBatoAFV6ExVVipqH5OmRyO4VdTRsvW+QtHcbI
Th0k8/qwsdmI93Gfe/chBCJzKCawHuYDEwatSDF/w5yj+qB020fHPgyzm75r8cvQeGEexwVH3EtQ
4yxMrGaJL5uu1Ae31fWp0tK/byvbOcYD4rBK+tatWy3i2lU0LbsMOS7qT4zv8OLiyTg4l523xUUl
ihysbg52jE3WEX1idwd/cB4ulZllEvezvaS6yjAkC/pJJbHTSDikECLHyz7g4o4rIPf9huXqN0nf
W6PmzqeDYVHOybZW5o5dns2/QFN2QCJdf+MU5Ed2nQIriDhIxxZNe1lkzhPI23KCtBOfOztuTqEK
y/dWaZt0Qi7+GaO7h7qECZZRuJ1CV5ZfutkdOuTKXffFw/P1CjmkRK5sljJKC8DRK6lcLjqzQbiL
ZUopdr13JWXJ1TQ7xdcq98KnSmbO58rx5puJzu3BV7q79ICMHwHf3WqPaYtKvNLWt4HE0RRFb45d
lhjFV1HtxfDaNvuujfvlSzfhU3msg2J3KmwoWS5bvy26tDfFMtBr2vC30OFcOqlXE0eSwCpK/xYL
V/clz/MBDXbNOSRlHeZRWvG7KfAXcyJflX+JGtoNDwMeBWi6LbbvK/wOh/9RVG15WinPs5/YeGeU
8FY0TxcWdqeHQZXWRaF992HnDZycbcJTtlgt9c73l/JlnCLF9kDleepGCRuqk753Q+vOXCuUjHVi
MlKam6Uf1UvlDkuR9sCMU1JM9fJ1GFbWCouSOm1UoJjfJrpWqOHKacK8b/KQ8OoMylSxbCTz0Ea/
Cyik8tSE+XAtVuq3xCIdGQ611JZ/tHQD59feJv9x6Osai9dpwSnM6w8Yk2r7bpxD557uWhTDCiKH
S4JhzuvzTFKFjN9uZ5SvOSJwvcSknrA4rO7Oy2fHSke5M/HWxvbV0eDWlu2MFCZRKvImL0U1nbIp
oJXSVGlZkaSZ417GYqq2auxiU99r5fa57ce2eud2ztxjq97LipAWB92mUuPgYbCeLdstW4FNhicj
ZLS68J5raKMWemkLk195omFWLfZtlXdBF6dU24tQybjlTY+1GRuuvx5y+ldRnYywuQXeAdMqm+p6
jaTrYWQwUoBhEjmBDuHYAc07Hk9mxErnc5ZVossOeLCb/8femSzHjWxb9lfKag6ZA3DAgUENCoHo
2DNIUaImMFJUou9bx9fXgpQ3X2aWvZd253cis0yJjAiEw3H8nL3XZoyCG8euumBa2todDjG1WnUe
k9Eof+s3A7OzT9A/ldACWmZtT5GAljcdG4RSQxV2Whoie8jGJud7kAZyqTFDycwMYELmzsf/URq+
ElzHPqt06DfJ4nx1mDIlT7+atUazDRyGwt9ao5YZLc011r5tdI9eYJuDcB+u6gOXpljcI7rqlfut
NXs/fR2bOTEAO3o0ugxOtlE2uzwi2I6HlzGhoeDdDBSUy53IfKHlboz7sc2PK9Mtvi0eeVmdvdve
WE1l6BTDqKtre+TjrYAGUFn0O0Qv9mbdHJwmdfcuQtXUvhLj2OoaHRJ0PH6nLeP20DRexn5sgFrJ
USHdWoi5KN0bnx0TujBFlCeP6aBKrRu6sBOd1HSHpGosZrmPq0Wmxb6ZUdz49A6q2rtZKf28fWQU
sFeCYYr8ZgxM2fpyDyzQlkfmfuVL443FZwN1zRBYNeYzgCjcO3vUJuWHwJS7MqURSZfva7f3k3Dq
0KkswWq1DB9XmFE/VfZXfhpPDzRLpxN94PQGzqq9yy13vM1Mrct9Y5eItSafQXBjFE+Zv8zq3FLC
qcCuGi2DpZrz6tgNAhXj4jVzhTlnyj8acCvgrzpZRrDDPDmGg73qS58a80KBAIGSCpQTYpQ1jnPs
XDmUYVR6y7uxRotuwE7PrXnx8jR3wjmtqu8dILYu6DOoyqJajYnTCJTqZE850fUnYKL59BEby9Zx
oaK2qt2aJ/EBn9YUGYdyND3EOVbrV7tIyBpTrhY9GOpavRYTiOB+pyIrrnc0FFOHE6rS/V3puWIM
AdaNw1ekD8gmgq5BZbdD09FOFEimha6I5tZdzMkbC35LHX67MHADzGbnaq9yt7gyYly2PcJrzBVo
65oS6Yalxz70KsdnJGUMyRHfAl+MWmIjsNHWndqmaLPdSMPsfUWwwNqI/MfREDWfc20OrtksD5ov
O5R+5Pn7DG3FDwPxEs3DrIlvDLbh/huHyzl5VFnZbVWXbaUnKhj3qpPKSd/ZIm19tCeZXerZjm6R
ScbAYU2uvDevC3I1MhKCfAX1ETSpmD97izM+zCA++QjY2DYPe1mzm6oSs0Lu+BeT9qEK/ayezyZN
izSc0cZ8mW2Jj9DJe3mqZJYhT+ycJxhK9WGwKvHV7XoTkio6xKQrVhT6/Qrz0XP0HZ5KKw2tEVYr
J5QKgbyfTj6gZahgbPPVihw0juaFtws1CGkEp+FdUwElPzAhYs4qbIyFYTzZE1uvgd8BGHKjkBfa
cd9SFACUv7XHZryJgfd4oXDiRh0QQjTP86IGVMdDxadEDaC+yS7x4GhTgN+3xlbx9gCxYOQaGkaz
m0c+cpS8TZOQB3qG8op2ycNa0gEIVrdp3H0+IbALbVGm+7Vd+JnYQU6HbKRswslufpt7YFNW1MOO
Hhz9qtgtputlqLomLNrJu/QAn0deznFaDgQpXaDSqm/tIrKuvaTIFTKhSJdBZ0b+tWEk1ruGWnu1
GE3/gFYvA3btWW+4YsaKOYPy9Yadzrqdgnyjw3HWWU+eAjyT/ZikXsH+29nFdWZa2jkM7uy8GBFE
nTs6Vzk8U1mXGhBHab6mPoqHoESIcVejMBEQJBzNocC3cDW0kXDKfQlu9zl3lm7e8dykqqM+DxO7
a73turn3sz3ThratOrrzitL+2qKyiINpLF7tvqy/dgNEZtLL6D2iqEQoFU8s+aJ7jY1ZxNRWi7Ez
qDxuuxF7T0/f5VsVj8a5y7ipwy7N1f0wDvXV4LR4PTqV39AXUCcjEt4LHeNUsQxi972xVnu/SNFf
pk5bZ5ItBmuXTd68VWuiRDpT0eJRfe+dejup3HD1DQqnktCJI2DxqbjglgVrSnMr7FjqctfaDuhf
2zevK10naANnE1KUXr5CdzaDph8F1kmYG6VXRL8hKxahdOTwGaZ2ezQBy77XKNC/Cn7ECYyFC4fk
/yueG+92Ych/bKaBu84b3xAoDw/NKHQUgMsXJvfB+gA1Bpd7Z8ryyPOgqzhm9HboKcQp/PTN3Frd
l4xmR+gtHFRasoDWYEnM+sXwCvmUJVC8d5Ku/rlpKth/AUrL3La/65Huf7fPG/pB3TsPqLycQmbg
uJi+cqIFnnfpZF9L537IkpZdvod3hzapa/E/IxJYdFa2zBoYONbgZpDS6CNElk08ZddiGZKzGJMy
W88IufXwOUqX2fnuVLLOT1ntlYPcRbITgxF6kyPnjs0rR83CTAt9ROabqStChHfmStnoQRLedbnb
ieU86oUuZuBai3OQspq9b0B6BjaVtskLACuzchIBl2Sq0CmEhnbjGEGLRGOFHJkyHlWVxgvNTYOM
XQLqJfKk/iFaQ6s+ZKCJUG/fN7POgYqsaZyjFgIFtInIWYPgx49xFq+ifZxsb+AIk9qL23UvtTdH
UxYyiPU492EZSpfsLsvqHnoGYHUwk3vR2GPfvo/5Opk64LfAPQKVJynJgrVJ2BlOEX7mzN/Rsd4+
iXRj4RfHJF7A7H8ZjXi1HMhIXs7foYVX7nJtDD0H5utM91Hh7hZAE2o6/MN47q8GERSmGKhhYFJj
MpV2ET78dThXCc4c2dL438kKQF31a+ptubnD+KkDs4Lac/YmCBqilJ2lAtWBvc6DgjlKvxvsalGf
s5+Drv/5ff11uszbUszpsasChmF4yKzor28rdTTWpDhVH3ndbIOW8pfwAwx/wUI0asZl/zCo/OtM
fntFbNxcjc07zMj37+wXmobeIPBL/ICOuL3i9EtVYztVx2geHLscEcFNYjGwfKQZw8pfX8V/aA7/
kMSGc2ezJf1he/n/eA7nouChkfZ/Rjn8/kP/CmJT5KZty4SkPRJgACj8AR72TcDDjou4x0dvAu2B
G+C/wMMwiSm1me7zraMt+AM8bEOHQPW9cTJdawt2s/4doAP7CMv1TyNwlpQFJH0TflCvofrYFt+f
BD+pm2LpMPvkamlNKFlzUzuMArR73bTKIIdmMWW41aZPTd62GzrQSaOdmDxnCeMeE9Opoy8Dsawu
3Kt1VRKKPpRDdI9CLI+cakp5NDOljcccrfiXFpmaQ6/Upq2j2ToYLlr9dFPMwOOCgrmkFYylWCW8
29FF5QtdEGNet55Xcx0kUHQoQCs6h24/oRhMdvZcR1cEFUCbkZ7RvvuZVt89istw4CG/Z8NkokST
bsDqxdDXCTkOSOvGt4Yk7P3SvZ3RQwXlNF76AqKh6k1I5eQ3Cxoyrpk+wcXSj6Q6DHco3MtLCTCw
2gOiMJJdBmjUCSpHxNQgWXMpHDjv22ljb9LkPcWz619ZRGdcm4l3BNzeGUFSp/XBqeB1MtTJuZiQ
ssxwcaL2IAdlfSl8Jqsp2v4n01rcvZ/Ib/GkaZrUGufMatsPo5V156mGrJGY1gM4wp7gFBettAa6
v3CwerCVgXazmi8If+lAFwU6XjxRyXc3spqjVLW961SVX5slLHoQmS21CpwEvLlpfNszAL2bE+KS
8A+t442Y961VI2RouvK3DBH1YcqlPvRO6sH0Uf0Fzu93J4ogs4KS2blGgtCg54/EWb/40mBorMpq
1xQOjS/c3opS7ynrevtiL/5ybTOAf0h7HmpNzsTXspM3p3bncI2X62LrSzClgRhtgVPHuWQ8TvVS
PhVdXu6qvOjvLDtPdqRTILH080dm5XR+F1jTKXfs53wh7UP21nKnkWiGzeJYe9PhnYJ8jEMxRfHz
6ilYrSQAMhLPqhpmXJVlHc/Lxry2k1ZcaTF+FPz7+xjL0KOCg5uEeon8i2IHfoTSRfRPBxSWWI11
vZOGPeCMn4xjjhz8SAxEdWFOSFKdOw43Vi7lRikNms6WB5Nlf1sv9vo6dRyj9gas1CuZkRjSyLxo
A5sTVdgSc3Icsyg+GO147SICx37q3k4TGh9OBBUt3trLdl62GCe7QoCI+r0h84CKNBgj3H3uOrwY
jOYThhZeqsUhYo4yAVbs2+qrnsfsgRL63hiKFxPKbegX8mK2otiT5Pe9b5Q6l1n9guC2gpbafyt5
wB4IMhognabMT/Ef7qrtm9IfzCmgrJgDBL9RfJGwG3eT9qNTM0/G7QxGfR+NTRxipX1lM+zvraZc
DkbPCazIY+es6QO8SNeYd0tGMVRGnWAaTiRRZlypKHECMCmvk4ra/ajIdwCdYZ2z/gpT/81QUsG2
AzP1isFcREoLzmVGKLIMyyVD1jI36SFHCcK5IesvJMEVj43nxOcJISkpWzlwYN9dHsulWI9ENVlh
0zTdcc0X91Z20xVS2/lMdyrKmdX08+Ms6QmZGsIVXuO7WZpJxQ2GMWkWT1VmEN8StmZnZQ+oOOzy
BoXoXdl573WL+dB1V/85s2ndSIsAhcRLowdcT+k92tY3/FjyzPGipfgz39xmcpjpU6Z+6zs+siiT
JkQRYV3HRUVcF2MWCMlxQYdaFvuCQfiDZtsNkoX9rqhBY+5Upb+tI02jKWJ/nkbWYKoX/c3XS8oh
NBXtU9uBJRUubmHGFPd1mUg/mPxibB5iJzLPNn2x/tjg8myCwpkE3YesPtOhi+ogRbYY1ig/LkOm
fmswyu1iC3bwnHgFvFgPL1RguIMXNIwMEN/ItGSCsMOojUCILphBU5jIMXJ50FD8SkyofuUnJL/S
FPRU/eyvJiPPFqP9nhsZPr1EZiOui2S23Pu8QzIUZJgI4QB62XqzyM59XHhgP9ldxC2Szyy9czdM
ztce18lVspa6D8grcd4HVj9pFthSkp1pREoGM+KlS1sYCCQikzSm2hLeVavp+QzwJRnEtsOZ9mx8
jyWieAJsQWsAGaY6JjmY0h1I5+S18WS/n2jhnOA4JkCKgK+ARe3oV8R6kDjROjJNlGwU+Md5jM5T
43F/2NNE93RZjceGrf03Om5MMPAXz7cD88YHjfpNhMrVSxesZsWYOXNwBQRyWccvdNnat7YT6SvP
5LgK5nK87e21vI/Qqv8Ga2akJVJE9gWf8fTFyIv1rhTqrEy3+FGWtvvhYNtMgzShaUebbyr2sS/T
s8OppWS33fXUDzokqccrUV5wFYMMYuXLOGnnpnD74oM5SRZdlSN9zgBn0/wYtdJ94Tni75nsxYdR
a4uxDXlgEdBePCdnhhLL9zxNfclmFEcvfl5NDwuKC1alToyHNHP7hqyhsnvNdJTfkd0Xc5bHkquI
wgG86dN9/ZBDm1/oEj4VfQEfO12r6JybJAPhkOJmZUTR3q+t3Ua7fu6x91t9CgdXw7O4bZikvKL6
mH+gVWm/ESg4HQBcMiw1Yj/2g6XVxlVnZtND5bDfgMztjO9SaKipXcVkwTY8GoVKN91JYRr45sdL
hXBrjcZzYw72HGZpRuSIr8rsS8tkTgZebQ+XTG6tMGOx2zt3aIoz91yaHUdLNBrV1wIAOE/AmatO
vEb+EEmCbVBfh7jvnONYyPRC91YcabcpNA5jxcTBk9mR7TnzcByA/bRzS93oeWivTBTrnJClgHdK
h7DAqBFsM90dbU25bwX9H5eZ7t5JKl8GZt88mmM/hL3j+DeFMY1loKJ6CBeVNedeSY7+ZVERRNNl
gwrSeOzNHRSN+msOHQeyuYQ+h9mrXX+4FFC3kZib0Lbcd6Cd/meVVOUbQ8D6YCdbN4UtPio5/ea1
sZv9nB0R2Zw4p7Aubv1Vqm+T0xWnJml0vLNiZ8Urb2v7Xc1dcj0wsH1hyEgPzivtRQZtN/VkelkY
KvB5kPe0jsgYMjvRtHyjdkKtlphv9PssenoOc1cZDY+OP9C+zeBlvBJOVEf7WMwja0n0qOcqZX74
rdUyky3d2Ljy6iz6mvpD9VljJO8PdpUs12M/6iORcQbhXB1zbeSw+TmL8wexjunXtlJ3sZ7COimn
HaO5/eyNNHvRLT7KwWeipFATxvgX0xAEkXXvFtSGHuL2Y+tSWARON8l3X63gp2TdxBvgj/E2gz1p
BKZBYtjO7FMCvoo4vusHa93P1hqdLXpVRyThQ7g2dnEYhRhvTCPZu2NX/kgyizMiLj71w81SYpmm
viJozx26z7GjondX1tFhqgXeXr7Ntd/RnBlvE2vJzzFlFlmPkcPYOe3iTGJxl9lHw9i2CoB9V0Fj
JAVbiz3f1lGbfCmipXhOmRgcRepAeDGj8aZrEHywwF3SdTpMOrGgRiznGBFdaUCL69rx5KU+/dTK
ivOvSPzNLkiieUpo2zl0FJvGcvdttK7XuWE2V7MrzRs+YYHwNk2/R2s6IEAcBkJ4WsZqvl2d2wLb
N6mLXxq9zOPOtMzuLbZb9cBQzvhh4t38RUn6zyn5n07JQgAj+O8Pyf+3eHt/K9G4/1dYufnzR/51
RJafKPrAZLiI9U1OqDR6fs8q97xPEnMEqSAkhpj8yen59yOy7XwS6AOU7wmMKkha/3REFp8s8Hdb
wgh4Uuhm5r9zRP67Ip3fsrk0TEtYm0787/2ezKQA6m1pnHzDkFmQZno9jb7sn/90Tf6Rl+FswEBv
S2SlRWAL2HB/ayutZt9pJG/GCVuH+QxfgEb/KLz7khK6/IeG0tY5+/OZn9famKKUECSiIG/eWBJ/
OvPzXeBlJTLipM3avxduB8ba2dIeVkHopVtCkv+fP5xt/rVrtn08ugyu6QjaIybcoq3Z96eXXPLe
ob/QRadUdxFitLYebpBtwuyuEaKRs+aTRkrYtm0dxMiwhUEqfLqji9KiOrYO8Q/ORCpBMC4VbWu2
sJNfLwQtAMkW7xX2BARevX/8maoxr116LF1t7fC2VpTw5GsU5B0fC6MbPptb5gYgp+YAXy69izQo
dxmDLQvtuEqOuqVRT0QvuIyhLx8t3JI/kEGvL0kuuxfVxLcC4ux+VkW1G5HYnVb2x1vCiF1vl2T2
+Gj1Y/nbaq/1/WrP2WdLpFlQiag4OG1SMULhmQAMfD6JmsNou7bW0ZvIn+sA1uzNBM1HMdj9tTKH
+o5BH40UmuZvooiNU+FuIp7OmE+tpltMAehHLk1bq/7eewAu3bVcEISuyRiIdmbS1HnyIHqre01z
kvPycEk4szMq1DOe2le4t47ub8jFyQ6qIg1yN0es8x1RaGz1wi6r97FTzWsGi+BLRmvi4tMXTnY8
J/2PzAOuEWDCVdQGlq5z/AHpcugmjzIO21PynieF5+zQoxb3okDwsUNDX98oAB7Xmrn+i6dX0ElR
2iEL2uS52YqgViJMuccOeyG1TeyiJdOXBK/pvqckfwUkMx3qRQwHb3INAiygkHx0ZZkckyr5rrus
CWOMfNex76FaN1cnKfc9FyepouK2Lcr1C0BA49EGQHcjVkyjQb+YOZqmSRghKQoRp84adyQP4XME
Xob+cgWBXac5cbXx+BH37vCem4Qf79eY8zen9tS/4hL0sC/c7+1Q7GaEMHdVIRAtqOJD2GCot7xv
DuNLkOfxZ79n6tJGTXE0Go8+P0oqxk1zhUVdih0wDuq0ZrjOOMCitRhizFPCy97waUX8Y/XNjkY7
RMih0aO67SWaC+vGTfoHZ5lnM/A8JVna3D10OyYokhIDgjn9WEplHJzOGG5BD63vAyBVmkCN896g
Xr6nJ4M5ax2GS+sMAI4H74IRN92PzvrVGDv7zloTa2/ptb8z1Eq14bvzU1VBno9NfzroUj5Wc/lF
EXtqnVIUXJMMBlR1+nvlpjS0Is6eINRHrB0EA3uNlQUr4/cwj8ucQ7E16nyni5ZoDW8u9HIufKJ7
y12CuJHAPYPxw0vezxwVsAGNsJC5EHUbjnrqs2eJxT4mb5hmoDfNz0oPyd43exWHDkIfZI8RJqzA
aQW51INXVceZIAb1dTEkMBOcfRb6Jm/uRZgWhvYOfdanLQVOOeBsz+c1vky5s2FPmnSK74itHjFf
YxCZH2L0USC3G7ftk2ufGEQk1ZjanVerQTWL+6uKqL1gCvnWS4Z1mrxDHA/qQ3F2NYNkgMtxlWtQ
jd1TXuLwYVzn9/mr4TT5k79F1XSiYhuuS+WcJkGHRkXa2LzEVqSDeSTaBKtSLYJ5nQhTgdnvH53B
RvtkRe2NuRBPZJUGrc2FyAAdlltOq0WwXEbrZ/vfKnKjJ63J6nCtCt1QxbnygFLSPtcFPpNglIhs
CA2R56YX5OQs5MEM5bhWhNxE6DGQetXXrZTUvmpSRKyQ4x4SvY26Z0v3qXrhkRWgE6alG7IafW25
awejelrJWEa1VhkjI+tpLh8XWzY/JPOWG95IGh9ybNuowDjnhZAZimTfAfI6o4337wsndd8KIogS
+CYTWLBekRY05wpdPdSHaqOd8XeOMRCU45EpZAvSo4o8c8ETrWX9FJcJLgSiCMg6hXjljty3Rfjz
UfefKvAfqkB0p5QZ/30VCLWj7t4+6j+Xgb9+5vcyEI3wJ8FIlbLN3gDT2zjk9zLQFP4nJiWMBqge
fo5K/igDpflpI8BjwcT7Q+m4sQL5/obk//zvbVICf9nHPoxNX/FL/q0y8G+DEgEvlwKNcDImktQz
fzdBbh04AQHIuEbg0Gb+AeS2p8ev3eTLqrvKBMe5NsiJN0iyo+ph2jo3tl+UOMxKaMBqCOjiyya+
2qQ2uX1bGQw+ke4i24lFhlqGu4cg1DwbluiYe6mTpjdOPE8ciTjTktdNB2rltT6jsJrbNSbino5a
csPBH7HEFjivGDB4tKIQHtNauLKZY+L9sOciJRE4iibxav0MiEOdh/z5ieM6NeLek/GsHr1kGRP/
Pk2H/YxaCL9V6eEH3JEIvjUUxw7QIHUD2yl4rLr1ml8F4n/umn+4ayyWOuv8v79t7mo8gf9r99bV
TBr/cob6/Ud/v3uU80k68A4wwjsomjAM/HH3ePKTbW3nKmpv9lFusT/uHm4RKIwmRRGnKACVLj/1
r7vH/sQ/Rc3GGYGqnZvy37l7MLX//cxhctrguOEwtTSx2/7tzKFysvQY0GenZfCIhTP9PFEhNHRC
uSzA0st+mBrKYA+KkHuOLE1aUGVVBFgw4yKW3ppdkGk2tCRkiNA825NRoIntAvQWJVzkxO4/cCB6
NzpKeGjVW3CVw+NrkKjrAm1hgyka1z5P6WYmnAmZQZVWUJ7xaPRuiGSuX1G9k1RHYchwkTqgCebK
9G7MxJJvVTeZdyW5dxRqCH3cADK21xwtBNPdHpP59iN2BJonz1L9YLWD/zLaJi88N9gFgqH3lku8
OP5LmZrLBQcw7NC8RNEI5EZ1BPlVeX1VO5gpr8C79x+9J8xnGv3IbxgwkHZWxQUZ0VIj1yuW7bbe
EriCxqfjHVhW3J0wcJvPmMWdN4UU5qEGtXayp8T+vM7e8lDZdYfkSGCudEsy1GMLDjL0K7qveDT4
1S15I5uwOOtp+NP/+cjgdzUAvmrrOe2L5tWO2q2otTv+mcSlfM2hzXnT8ZZTMsa8AYdYABDqBa8m
7Nh6zgADl8hageAErr/wqWXOa7L1Na+o6fnspPgQYjLOAk8v44HrCij5nU2f/8abIiaHCLhvsyid
znbtk+SUkn6CynG7nr/S6Eu0hm7Iuub//PpCC4FsJowJ8Xqxxu0bnvTIgVasff+VRCO93MzNFjO3
5BaBWqIv8vTRKC0+Qk20GLlIU8KfHirwdeNkcl3mzOA9JosBUXFGo4z33VAxJfxQInRtSMcUXzoX
zNGB44VRBxM51kk0ciXEVPkvupgvw9o7B10lrtwVURq9rFafMUvkCRNgbDZ2jVlazxX2ptetNGTV
lix0NNqkdlMf8pvWyOJPgO28N1TP/svAuYLZ78x/q2FiNVhdzzfr2wMAAF879pkT/ihvC6UG8F5x
z+IzLGaX0WRx66m5GT6Qm8zxXgyNeZegl59DBUxuIgXTE1bA6BxzFhLQSl9VnPyIcifyGoQNS9QF
PFP5N3UDFOH0M1zTwEFnQ1K1ed8p/c8VsWO0XGz8S+Cz55IVE9Fe/lgWyUsiuSUyZtrWifaX5hU2
2PLg2YN9LomPePUQPOFtw3555Hzq75XkvK+niWmCNJtXjJLRy88lnBqK64vE7rrebvZsW6SRO8EG
skcuCe4n/bDE3Aol8YLXMsmqHHmU9F9AWnPhBnjMNoNpjwUzKkEcXIUr4tctQbBqenRTzcXTpMMd
OT3YZ7Jm2lfCzbtT60DL5Dzjms+S7jEpsmIyAnTpJI5nLXF6Rae4OV2G9vvV8vCvJ8484Uco+TiC
PMq0X/hCW8R23A8C5wHDTm7yPp+4PiidzecJv9VRkzRnBZKe1JnUR59ZYuHfrC30FehWmt9QN2aG
edjwNvenwtbzkLVTrHCsYfHdD/Hqh1he1cklEfIgisy/cdrFCHFyGt1W//J57aWL58NKainnJm4K
wga7kje0wru5IA6dk4vul+Y2zoAOp/gSjjZp6RfsPJL5BV0FlJkFv4eMLnnOc/SvwKOsZyEi8xm1
+8gVLOVyaTa1IcL2vH3NRdSeOKLFx2hIrGeFcPMOh84cHSicuvWppz6UpwVHzdle+cCcUFlRgP/4
opBomM+RWNfmCiu6g2mxKovkqowyQkoFUXvwz3MQJDPfUpFGOGGRbXd7XKGsqQj0zZbhuPK1diAN
3gSC33S3VKb53I6ajENHzxx6Olj1BGPDfD2Y/eDv64pVOvsTd0TptgBMas5SZIjwfjDkxtF+8reV
o0w8g3QxOn69FUf9R4x58JgmDqubZtwzbH//pUsdM7uWzdidRlMJYI/bmgcrwA+Jgc+8s9pt/Y8o
wu5GdMpkqpiKzym2bQ/vUDs8Tq1DXoNIUXsGXQ/XvIC1x3r0NcmhTev5LwbzP+CqP7e0jMkno2I1
s5QcwgTGM52bFmgLzTT04KZhPkiXu6so0OcQe8DlxSN0+HnHlZMnX+ZqWECJtk6XHH7urDV8dPfI
nLd9MVO7ql7mONb5Fweleror5LZLmdOcHmUyOG8+MEpk5cTomgkmOyaUH8xPGMo2aFUCr6W2D8C4
sgP7BbmKyBjZyArqh23q6zUc05KkMpN7HPQaY75jlzMSnpESIojxppk7nDD+dVmBEQwsFeEzhbfi
F4/Y/n9keMqVtysGgxFKmXenanBKvqIN/xfkmJjvau5JTJNsMeSgzvg4dnbbuR91Vb7U4A2v/GgZ
GcVqb16oQ+zu2cJsXTPXg7qM/OI51XFzzTPGezArJSLu3ck+dK2dBiAihjta0/V1D1mQIVCcfIbA
4NAAqaJv4Gn2dO3aG/iEyPkHhQUz4x5A+2SWtPewOJ37ZGyuVQafM3oQiax3vj98qdrx0DR9ezBo
iD806E+yUl0iCzzNF6i/DZ4tVZdudIZ3VrKrbsGgNM/JBRQjygbRlKEFcKDacUBxCLBqZQb+0WJe
bTIJh73ZeAjDc/uQVxYkSZWudGOX+QpqITZ3Q816Cixsc/qgXVqQJ59lCSKgH52Fy5/4xN/J9d5b
BnXVZz6PuXRpTykC8iEoZ/OzNKf61hBudZ+uuXeFlY7Va2LSJC0Ht6eXNbhem8UKslyNiIwncavs
WJCUZjjLGwlY2Wetys8yU21xgyZWPrY5infEqGAMoNr5NAbtiVDFzn9PPNpC/exbAXpQa986TNu8
TncHzaT3JKZ2QsozoCz3GnRkUmZbBmyf3Xpdkulbrpf7kdExOsC9i3iOp2KPQfIzUI8GDYzqjiqa
v8GY3Dlppt5j1PiXxNGQCYvWOuDZwMYzON1jD+mV8qdy985SLt+z0Xo2mH8GuLn6Ww/D72O5aofx
+FgegNHJY+RP6qbxU+w8bf/c+qORoX2iMtr3cNVuhzVii8pL6pM5abD8yOhqJGrjymJGfXL8uj/n
PoCj2l7FjotW7ae8dZ4g8daMtVtvb/icFTN2rIAVkj/INgsVVaex5uY9DwFNyTdVh9gz3HPR2fox
Ri9mcwY8Wch1jt72hEDAgsgo9seTk/OF9fj6QPAtbQiDxr+Fmvc4piUsQfLnLkyMvRvQe8Nna7GM
G3AMqG4MD7BGMFO7vg9TgaMosqz1CrQ2Fs50qL9mlO9oAUYCVVjfVv5sdZF3UrNt3CFWETuevCok
aQIbp6MPWZ2XZHEq9WbkJZ29FmEd+PVyN3VdfwB0BwZQq02Cvw7jETNRsnOgnO3Y/ONwxWV1jOJk
OE+V89EQAbO3BnPemY0ott3KPOuss98QJDVtGNX98pWKeE913VEJpqIKNTGb+wHJw/OGUr9j5+/K
fVoj8zBSS51Ev9jHEklL2Fta86XhlLzBE6cQ7wPl90c2EuJt2nBwxGWa88Lcx0Ankamodl2ySxqZ
C46tDJXPSa39FH+w+cewQywmAZ7ZhHQeq2YXJzDCgjq2oyPhTQYbU5e6J494zBcj7y2Pxx55KEE6
mknYNQMnkKTdKxwwt2nPfZHaw/zSuF5xXmG7Bj5okMO6Dis+DmyvUPXTg2sV4vMcL97/Y+/MeutG
0jT9VwZ9zwSXYJAczAzQh2fXYkmWZTlvCFm2uJNBBvdfPw/lrG5ZWbC77gvIyixby+ESyxfv9y4M
cYKPBcYd7lr4sZAiX3jGYym+jJvyOhk6/Rk0sr+A9nQl8wrlO9XARwgi5mMwatmi6kO8cIZNOqef
tVS9eUIcE3RnA869TRvYAVxxcD9pRsBrg8op5uAWfYi6YKSaHWqOIW5a+1+ipmBRj7BbJnbBGGcz
IEHYahfn4EGAX9zQLhAVEkNsmGMMbGH2zhc/Kdl17R6Ca+gjLI/3pLe65UVjtvx9XlNyoeApO5/R
gyHODkJqsEvahGqrGvUayj2sqAqBY8V8Nq1lupuJn7ynFi1ARkfK8sCgPntz4v8nrcG19fdTu84C
H4IIzwHa9jhGv2sN9oCUqerS7BjVQdFuy7p2ps+LWHr9iOPjAnm0DKhG6srFtQf9Ipvvry/gXaQY
aBe4m2Ot/yF/gqt458o1JtKqF7uLj+5EVsomqnScbnt8eexry9BJTLEZqUPqpEl80eFXV+2U1NE1
3nbWPcZo1jXiC6rKX1/VP3ksARZorknZLnEns39uKVZOH9XIaONjZawpyxO7P368NTXpsMZTd6lN
5dOXC8WRMcTqy68//VV+8O6t8PHEoPiSEhzs8d3Hz16O4hOJsTsXHIUyq5kxo9GNX2a8kGRGpUAD
0Hfucy8yTtZaftMLE9nFIBpIH0JCgVk2hPTGybFbT9CqWaNidORyhqnQi/7mcf2Tl4hZqLX2YYnN
8Kz3z2sI4tSAulQcq2hYg8uxAdJhInMIZS3JQ4i+FepcOenmqRT5fNd0YBVNwlk+raf2rqya8DeP
cMV8fn6Ea3teOAhePMdiG/75ERpuYyw9dcOxhUrDsd6Q010HJPWggXj0xsfHAkjBtvU3YXnOSQ2c
L6qxbouD1bIlh1qr9QzGk/31hTn/7MLoixPg5+P//TfpiTeYEJ6xdj8qGVOhxjVnr34TjGOL8NVL
HV19RDjji9NcU7Zu8XbR+XkQ9nDXw6/Vm2RYu9nmzGlZvNbFFhbQByPlEBULuKV7GszU3BFpLDRp
wXpImWJmr+pCSlOvnfqrGWDw249DaVqO0x1ucesihP3QXUKfJNsM2TLdrHXcU1rljK1F+zmOTp7i
BPTrx0FG5N/ek0f2D1FUK0vjb9B3YhlNiiuLcXASlzXQrpcqOfv9etSpJq6ehT+4nG0f6XVlE3MS
TmXCZc1pv3ycAsnTih2L04m7kNSQFYL/y8Pi3zRJ53j3Cg85tlpfdpuB0tAjjtNjvVJdw9RTA0T+
oWmPC0q7ZePaOeCNzOn/bXwOBN9eb/bfSPRvkGgPJs2bYfE3qQvAZvX9uUuf++6nFs7rj/0DhLb+
8JCkoFkBnF47OEzov1o4nvOHh8bFBPllEMFywXj2v8Uupsv2Rhwh9BdCgbiOv0BoYf6BNoaQQsd1
YeBwUP5XQGjxqpR6u+DgDLuufhzTyNMzTfvdmu3aM6qaOh2OoLjW1iZYcZcsVRC6Xfc4y/yrbw4Z
nllLt6t6osjpHOrNNM352bdyxQndv/cHPz8bpCtcTZDPOCBTqRny2m5aZ4NfRLXxsgGXpFW6jSHA
shdOaW6bmHwYDszBXoE9hYHsg9AL7FtFU2aLOBPrDeHnO6thdYlppa4mX0OY0ZMNsag0t1muHymU
73vqHuSGtY2jQPZVGsrcFkQa4fqw4LMyeC1LZPtoga+Hizs4OCK5xg737gdUrneZY30dWj5euuqx
qNOXOu7gGOB/GXrS5nwOH8Ku1sOYmrB0aptHaWXkcqwMj9Hg9irU6czsCnmk4Z3a1j+xv3e7SPNo
2HFJGC5JwcnyFzs3po2UPMrab/XWbPilpEs5GwEDglvgMZj+qUy13nJiZiUzuYZBCWOXRLCI+wQ6
ZyYg6NSY8m8lpMgQ2cktLMput/4kRFp/kwYYRECRrDbxzCNQ2APu3M5aOLEUtwESnl2h+cgCeSxS
BdK2q9Gxd33DBTlK5ltziT/h74tri9f726CuXuaqqY+N0+IFFM3Q/SG3xsAS8XNUIGTBwuw+MM0O
zKlQoTbhdK8iU4Q7vo//PwTTNgv0PUY+OVQkic+YUSx73AuW4+jz9BzNh46ud/It4/51kKTNTBC4
aDTwDOPAmp1bEBf0pmaA7581hIiDhhD3kNsh5aLiLBcnx+CQa2VwemtMu85eAJIwqHUUdXwvzgbX
qbZygmu0vfOGJAtlJHEEsBlYfVGqsHTda8bzyxQgwYaE5m+KMf3K9sy7X/hTRvWxIbiu2o6dj5fB
UPMz5aoYsZS/tT21XGFVGACgtY+v77tEOgCay7DC5HvZxwlDBo0ir76hc9lzpqBMjl+Y5Ixq+pIb
P2F0+h5DpV7nQtx086eCfMiN9DHRsLgQZp6/GVSeXmPrdPKEdz8vvPmxYZ54lOvnkWb/VeIxO+iV
PHoYSYXS4w37PYOJk+v168OoFJNiNPhWYPqvONDbuwinqzNSFneHnkOhPdHRea4C6w5xuwptNeKa
BQsvdDqyspfStnctR4JtSetiS/uDa4gTfeFrYzrE0rYuYZfTOukWe5djUbdC4HizZRWODjWjDDpD
CLUnv/JtJiqqfZz2hqTY5XNc7EzmCbSo9HZIkJGs08vJloU2Tm+jIC8I+KlhUOB4Wm/MktctkiA/
x4lZHSZIuqjf1mmY+3X4+m6Nkts3oupSAkmwhDAEKtUEyON4Nq+jHA/3ZV9zQD/oWOQ7wk+CPe6s
xXY0GM6vA2Ad4Uzx21QseOnNLGPBwPwWS7AcX19z1+No2LUMIxooHU0yK3pSHAOPLhVJuHDwgZhu
GUcCVli9MIfA65lXYOUvcc71BQ6zxzSYzaXTBaFdWdHZbPvqkoP0dO1O7sEfs69GTLsapKm6jHI7
34HgpWG/mMYxdpmnHOusyxmkac/pFV4dWO2lgYdLuFQsX3hUPGHJ58P9qvB7EYcgKbATRbN3GVnj
EMLjlKFH+wTXLFdvGkCT0yg1dnYVleWUliasPNfB0T5mUYwtFjcaeFvDy4ND1Nu3iRP4ByQY80F1
LCbgb0MIq4+YrYFLGHuLWeSp+kjvnH95aP1f1yY7mNCerZMWM6ohNGLjnt+d3LgtQ6J1xa09r1TH
yIDH32HRk2cIGuZmUnstcafLa2T9yNGqy0mKCfZ4/gKhgEczMwNen7UM3Hybo4S6wXcv2ItK5jsx
dXprUCBtCuHC+SMk88a2FiqnuikOftS8NB5/XfbZjkmvNvh8TmdhFOneattnH1PRHRm3KHYa74Hz
fr3LjeTGGPtrr+6yDQeb+DynE3WogQDDoh0yY7Oaj1CSqsmAWUMZSILzmlNCWKtAzEhnhxPR0mZf
bTQ7W0tlYJ9Y6Ny7MQZd2h9VdjUDJZ7T0eQV4quF1AKPLNHvMtTzq3iyuwGgkdBHpVXE3r7FVQgZ
aY7B6wQPVO8WkSggYfjdZxX1T9jo1N8guj6L1EQpFDtT/uI3jrFIVgk8FkKWf8DWqq33eDBNgdq0
uJmEKsPWr8zEYGxjtqKtbfnRVTDWi7EvEFbq69xOfO+EckKXxw5UyXikWz2ECbzV4jJK6MNt2raw
ZNjMuHlcu4O0Z9JvYITdVWR8nBNP3r8pxf4HCAF1jZCcheFBm5jXv3fKLwJCLwhG6Y9eOs+YWScv
ac7m4lT+fd/WDsOKWSdSRvqvP/c9kfj1cwUphzamex5Azs8HuGAW9hx0qj9a4+tixxx00vxbNRo5
atT85def9p5C8PppdD6kLYgUhPj986ctI0Fj6Hz6YzEzQNZKIEB7tSOTzfxxX/8+BPzmEGCxcLx5
J387BPwn4bn1zzSUHz/yXxwuiFoCZ3o070Air8zyf3C4LGj+nB5/pB286tb/cQBwPKj8/JRP6sCr
ov0Nh8uCu7LK5LwfCnr/X6n/bfvndAuXMQP8Ya1nDNPi8t7nLZSNp+m9ypHoMUXznXVg7FA2cY6U
tXlRq8EnyzdrvG7pD7ldkgXxuWPWWbscbETf26XowFlXkwZ7V7RZS8VAjUQysP8xlXgLSYKisyq1
+lCNE2aBgjxqVMVVMB8zYxxRjWPzYpfDCceuUg/4+uCl06mrqpizajsMKRMo8FV16eJ8cYYZP5in
LJXzFQLUCOloozADl4+GrofDSMG/RiKi23UzdZmVWIRAHYDa6Lq5fZ9IpkqYJnBPN0G5cjNIPA12
I+qXEabmAvNeFuAtC4ZrT6ayIXVWnR6uyDinZWonHbTSdli7+UC7ZnGopqE4TENLaUKbIT3JMm68
a5pSLMF6pl2PTzNNBqnm7tC1+dCzMXDaT4CSjipqx322tN7CYaniF2PhROukHKLhg+1G1ZdunK27
URIEeWB3IUpQA3WD+84YOOp4XjY6p1GXuc3w2LVifoiW2pNhGzdqOk0USqtBmMuNYu7W248k2zeE
GFrFQduy3QkrH3YyVo1FFdvSRq/BzSkrxx19fcDaNB/dk4RM+oB7wHRpd2OgD2kmmg7hdIt5+8BQ
3xJLO5u3DTurDY+1PDhdgeC9dic8aF9VcTrLDEQKWEZvOOm29dbscXnBAbM8EoiT0DEZen9vj+MI
xS6rQwxMhng/253Jg46VclF1FeOLF6XmE1UOTFiX2bhfGfI70n3mpxLGob2nIYgcsJ7UR6tCEYeE
q3isCQPYROZA44IWYEeuKZzCrd16H4ikgt9gJ9EOh1ty+ECt2NNNa7KGXRwXDY1ejDQTrw0+TG6D
HXPU9mGPa805ofnpbWqnzEnfdCgQ3KSH0Z4Z9YlMFvvUlXiBw0WL/mQ24DRN8mLwNSoHOh+z7ob8
EHeNfQ9y3Z/GtvT2WEx69BKQaH/ElerZHF1jO8z+sqUpjV6dGZCeak85JSbVE7VnDDR3WcpCnPPE
9b+sypDDoBMJxq8hLm7dgdOZhuTsbHXU3OO/3l43vrl8Lboy2iLsnR/6VJXHaIFdHRqGif5MGfgz
DcpAyFlP1XXj0juACZLRJrUHbC1c/Ee3FlywT5JzCafeoGKbT+PPHeoBDvRdVNzlQtmhXrCuHrry
0NUERED3EHCwRW7euknTh3M3OcG+rlDwsrJgjHDx6uvXu536QDs3oKwzi++Vlc8nRCt1OK1xIQMl
zKaKumfa1mJLNN5ImyoFVyYNMqyF/TSN82daQy7eB3EwbZE0ei3HEofACTrHijK0lzejxu6XjyWO
rJ/bHwjyv3fF3+6K7i85mv9JmHCln/RbXAzCJD/z17boB3+AJktTBsTngWK9UbgF4g8KGoBmVPSu
67uB+C9cbCVn8iMArwHSM7CxN9uiA+vZ4rup9f6CzP7f/3me/nf8vf6rWtTv/vy/qr68wYGr0//3
P1x/Bdrf4GKkb/MPiTmeZbkuV8pFvFVnNWljM6x7DAgKHy6RS3ZOW3XISUnePhdx4x4ht2U4V4/j
/A1o3rt0c4HbqW9Z411d96RBaWU8FV6BzyjtpGvU2M69ZGJRq+MAgFWM8K6R/+q7ORvS+1K7ZCH0
Q3oqY2n9WauIlMHMy87IAHfdjFsV4g6oolCb0KZnI8p33avlmcBUI0wjDt9og3L7I2SP/IypWnUR
eU5xoIG/cfC7u6pdG5itiPDhysrkbA0a0++0hKAJZRBVqBF7Z0IS6ddExfQB0ltxgAoGhq1jIARP
TvbtZPQB+RS5eWXNKabk5MANm6F26B5C9TlYtR0/WkEa0ADLb6xJ9leRbd1jwIgXisQdsGrwt0WH
pZwXZ6apOpZry9EaKoCisu3IeLFQXmcw9hzhTpqoj7Q/uIWpvo3s0XunRYrbpLQ6ABPyTxA1sGmY
aB8dsM7IjsSDENYoRliM3myFnWX3n2v8JLCpS8bbrk6X5wA20yPWoM5tTDDFEaPv9lrC0buFoUsc
Ja6Ie3yb+wtzks3X0umnLQ613l4NyIg9K+c2YM8B2VXFcahGogpy0X8zAgcRsDuHTqAu7Co+wfeZ
dj0p0cSO1hUK8uiqzFV5MnzjhKNgvsXQDd3V0DaHphnclxhjR8w3uxTTczEeyFZFuVwm5Y21IHje
B0bG+QhXMWPnLFl/ocScPcRzGnzxGklWPeGpeCujP1KQ4O+DSKRXiynNKyQ8GMUiVko/4xOgL3GJ
KD6KWqgDXnd2sBmJcqZ5WcDLyAvHuV1mL72K6cXsZ8/DKxs1lndXpcpiI+saf5tqZ1hTRcyboGWs
AJWC6GWLKJ570p6uIymLI/0z52JV8h9KJXGR9T2k38TwXlexcm9Lci6PUzLjGmsMzoU9umu0Xx1/
IMRT32eLE4Cl6uJUGv1JVdEIH7ZyfYBkZX8BkpJXDTgNrMNCHTNaJiWkSl3sR5G4Hwo1XtjJKBiO
dEUMUJU+ibunpPfNGcOm3NrZKvKeGmf8DuGvPMUQNrBWKN1T3URi7/lAebNX2Q+OyJ8BrVQMJiHs
L55f3deDszzQV5vxEq3M2zqRIKwT3NMzAeMrGQBPPJr8lmuBrcnmiQCE7MYD38E2Duz9GZu45FAN
Kyy7pMUnPzUhYoBa7swhLy+ymJc4Og7lY493uU+O6UfP0R3uuSgyN10Oa7CukJyP8lxjYVgRdxYi
2CqBc4osv4VTXdy5UXGU89idJY3mE+6BON2pHvoOi+UX8JP05BFZuceso9nSHwPhrWBSKG2K7wve
xNgkZEm4JMSfYBmbP5I/NH0CTMR9wy7rkBfqkYeZ4ATT4I96Y7TTfixkc4HVAGY7QbB3u6w8RHo0
r/AlLHDev8VhZXg0ohHXXulYt5lJeCzccVOHxWgO15U5tM9ON3MlODJga+4doK5Pu6GwejBvjj6P
nTc3iiPtUsBl9uYamuwcf1h0nR+MqSNoaZ5dL2yHSa4ufQQ+xtG8o7+gOULU/QpgB8OneJkRKEPk
w+6T2phlTqfFhlQD84LqV11BPSN+1zIeM8iU/iaOqYbSIkAktrJqgraSIUDuZxR85qkw8eGkrmw2
dpbXXwto3Be024NbFzfbk9bQmTYkTnS3aWfkRCNVocv550lm3gQV0/VvTC3LLlQ4lV8Pfm2GflQu
xYYQWrkjuyN4CNg1rgFsks+oVNNLSKd/BhgsHNkRlxAn0eEaoDJlKI3Zpc4ksaqzEVyWvWhvuixq
rjJzbB6MKC0wjS/VroZRiiQHN+oFjvPO1Y3zOR9L+yjxe9nBH6r3yZTZ3xcv7q9GN1BPAq4fmwtp
IY9JWaSfSIMfYO2mOeyTLIgPOGQjNZhjBDVWlNxYFtIyjMbdzQDb66PZ8+grbK6289ypnZ5s/8JH
BZ1tp6JOPjheNjLQKMgDY4XflNkvhzl2+kOVTh0crUV9KnrikYDBAISj5SYfHLGjw430du7MBS6m
UQmiBaa9bOrh2hpi+xxYcf4ntps0EgBkwOnZblOm+IXG2+uIfH6qN3nTBl9yKdNtWY3mYxGhuWZl
Sk5RZ29nhCM3S58Zz4o4u7PqfCyNCV/5YKVVcXKFQS6siPVtMY/+p3j0o71F/+ljMqS4QmPAZBCk
YEiMPLz2up2br5VeyM5ZepZ/usELbZ5JxIcJTi+UQ+SRtjYu3Mq0MVmusH0h7rMe3RLuWdWTr1Pm
qXm7nh7Y+7Mspr1FIbKBLVqQ4uIE3W0TN8WxhvucgiZ5dLcX3eIL7UV+8xIQ/HAaigSG9DQalym5
EjOyp5thqPJj5/Zf3BaGI2stbQifhvLXvJNfiNh4MqP+xSuWL3493VUAoiGp0wDXTlOeWmx/d22T
3tt07M4q8bx7+hD2A4Bs9Yy8ffrcRvzgAFWcoQ5BvM3PUPRTsz+rRjdDd+BETU4L9EEXmQh9l9x0
d6lddwLX7zS5nGiRYpQ79f5N0zWzfNQyeumByX3ObCMvDsmkjTAdI4Awqs0D5Hi1wB9TELVUY9Rf
FAsotVcwbK0pyvcNvYTy7Buwf/SY2VuKPJzd4rk6923qfXFnt/nT9KI4u4mmpLjwEvhR91g/J9Gh
WPACqkKCITD+3sSdm31DBKaNT24TTS5K9IF2S20QgXJqYDxsK8MEWaRPth+k/ozCdty0E+05k7M/
cl/xGffJ8Qhe7UH57vprvnPaBysBl7CPc9qKyz6w4Q6ZBgaDOcEzD9i/G0dqkU/VQlckkbZ3Zgch
fdtIY7KjCiuEfzdfc5ZtrlveJn5fnNaSdHwSZC6f25XEqIXRH6xqgrfYr+WWA4Nsg5apvUjTUx7t
ie6ct0MddUfyw0SYY8dz0JBSMB8UUC8Tvc0aIz4tIu5OREBF5xY5yLkzSUmyigJarqUu0XYTZhJ7
zZ+9I2EFTu58SJshxeQZEgetWg7XaVHvxkgoWjZJzkYWKbz3eM3HHmgFCb9dHlwzMl9QdVBGq1yR
IQLS41jf6IlJ/7M2+8rTz73wmtz9hIUSFQcssyIt/zIT/fch7neHOBDGX0KbxZPOfxLYWa8/8Q9k
0w7+wMcTvhcotCne+HhCpPpDCBN5qe3agf2W2eCBXkKcMwXsPdJIrVWU9xezweVL4JF8lWhbsZ7v
/hVk0+Fs+eYAt14O/jUubqFUFcIEkvz5AIf77lyWxFZ+T8xFZS+IkSKHUmO0DYyTuy6z54eMpla3
17MDNVZr8mWfp6gAarTgWsFZVoaAcsYEIYt5UwWRiQm8X+TJ9Kk1S4NB2wol6Zyk0OwGg5puILaP
PJGeHIEtUcDa/mB5JKe0m9hUxvgp6XpwxALzCCQKgvACIhiWnsrg4EAebHBvwOoBM9ti5JQX7Ssk
dyoNZw0bwvgNf8laGwP/fbyFsUSqLQpIn/+5WDy8fzq1hr5InKL7XekRf7sNWx5255uWijW/CmJs
uYk1ZAssXxrZpvO9WEND29BGyc/9VBa8109vxtbNj89+e+S2/3ZJ8G3g4pGw69K4oZ7/+YV5mT2V
tW7jb+zhZLkrgePzeRH9avSc0CMloQtBcWJxXknIZ0CMRT+FjCtT1fkT0VczySIeB/XsjNkEhflu
ieJl7bpNvIpd12Gu95C09BSnnVzyRl4vMLz5NrTImnrEpNHmBT/woZ9whbc3taIEbx6zh9SOMYjs
GcYc5rTBijK88XiJknxKcZirvpsj9tcfiaAx6rsSltty8+un9zOMT2XCpCGdeDWFfnXPXR/umw+a
8QAIFkSA30BNbDTMqojwzNvYJjN8ovQSH0YYhGu0pXQLfDAV3lrDHU4Q8Ct/fSVAMO9u2QFNcUyS
OR0PGOcdcGI5MbTjKZPfBu238tpVc4YjeAsq6TnnWMvFlf/qQ3Yd6bOUOAjaPZ7Cu3unJWt4NQ64
zwVclnrewjrF2m8z+CgDxt981joIf36hLFz02mj/2z7a3Xcv1KYoZKdy7W+TFetUfLfRfCRUkgpV
AgqsZn3ExSwhdO9+/Vj/NpLQI4OX8Y/tuyy67xjPOODqlvhU/YyzeO8vm8wr/AGdi4HF12/u8Z0z
0TqYAtwGsBZySW9lqXj3QDPaAfk42OU3TaO89I5pEFWfCgR4jRt2KGRj9WEKlsgsL+uUI5K5c4ck
Xx4y7Sn4RZwcoikiZDAqg9ssI8lchAkgT3GZD3EL7tKPQpTt8dfP528vBgNNoEIcCQTQ3avzwtsJ
gHjaR09hVs+YyrVcRWsEefYy4EvqPtYIgGqHDJSh7n7LIf77iwl4K2u314KObr1ftiLDMifVusZX
mGWWvUDAcVNYxEAKeJWGlgO5pjgyTXLvCU9Sggi3Tdu2ASQiY7KH+7RcRswEE39auq9UdyvTv6I7
foEwC1bo9jdPyX8/PblAeH7rNAmgFeI69vNCgX+Caks64KiBUjzkN5k/d8uNJu+PQbXM+MwMh0Ar
La8NJ0qZTbrC2h8PHDnPLJZBLuL5mQFYZi9SmzwZtj+R4249WIiRXn4swGTwsrpQ7cXU83GAuAFX
Vi9npA74TvN2qraTbMOVYw28kQS5Iks0tPmED7TnqfBvycXopi8ogSghNg3OxTwLO6Pf12yQNUqy
A2zRIE/cNAmqaCy6RFZ+lxBOUmvjdJFebpj+gftYQQVeHtqlzrjGlWFRIR6Bk/OITlZl1a6X2Nw+
LJ3jDfdAcnK40xl/M24SgrN4JEkia96ZnUxogjelk0AjCDNHrXHS+CWhmYXqhgEofaukkoTUrqcO
vhOr7IhvSaWnS3lwhynpbjuCXdjM4LFkLMG6FVlMUlAc8NFGOgZ8O/T49dMM8Cl57SAzbr5Qn6Or
jsTQpFeFqHySHSw9VRcJMQn9uZ/ghsE+IiyPR5ei5Z8vfJpCbJZm1K17ZkNmFbNN+U0HWbEWlcpJ
ffhxA27WJdwqSr1AZltEKQYP1DUrhp+e4nURK0rAoHLX6EjyH5jHc0lzkwi99h+/o+EU1u6cFBf0
JGTI1QTHOMni8gx6JyU7+jiphMVxdmruCT7/+lQFPs48OddXSLWO49gl+bkq2p72qJUgoSt3juFR
tc0qoiG5UbPXcHss9OtwqbGezF6cvK4YNFkks/IOHSN+qvvMwYZNbggStJlTyM0DRk1stwXvzJlM
fiEBBlbk7bu4y33nbIgpnZ+bku6aCmuoM3y+y8JoRR/9wpQ8kwUqZDGeIhyx0HLGS7XWbpk1OXwN
BVGx3kQWKDldNU4EWrxDB7W+d4/uGVeH9Aavul1tR+v4bZ1G8CdckhpnOAd6EPyWeq7pq277DFVF
xpvvPPYu4r06Lmnm7vlLbKnXaxEB+SESYp/HFJz9JmekOItEaYG9ySo1zcrUX+s2OLRQBfUa2PCY
9oI/hAEeqVxWJpDPFWFDSGX2goyx53Hi+b2OuYISkN5aNwmeT2xiNN2Fa2k93CsfBdx9Y/kFE9jj
iCevKR0XqgwxpszzuZ2XdfFIcgqxDLroOqUFZnT1tjUFQaz0J6kbSfVRljPc00HAR2VH81VpFKyT
qbPyag2K4hfCRW25PnzP+nVUO2m6Zn6ADVnucfIL0m5wzL4P4Nyv531feOvKlBQJrFNpYuiFCls5
+w4MAFiRsY3CPwY/Wm7ceZ4Y/r6mnSJ2dP+hilEoEAx4LV134ICaYCkF5icJ1U0/1FaSRmA3GcJ3
Vqt0mE0LrbynBwOturn6x0xt09U6nAqtjZGER43QhGxaevPPjfDT2qVBZlXcTMX5Nq4/BthECXJY
dR2s0llammOxYyFmudl1mP8TwhOrvg6CTU/dDnSPPK1LjpGT9fQzcYlgmZXPC01ikayL7cw9k0+a
L4BwbYIoOL7M6wQN9XU34fvH4EnJhmckwiRoUGgS18qf0K5qxlDkpORIXtRLvfC1xh761rpeXIel
EiN0ntK2zHkf4NymYfXNNbkp+L/uM9S2vKUKRRZ7QT3jv0oqcmOuq2C/YjCsOqmKumGPjcLId3KE
od0DQzJa16XcHFY7vi5bK8JE9DHLkxITLucXXUJa3fXAU2QuWHanGVADDPK5XpFBjMUvfPJKBZgF
jeb4IqEXxUcLC8oK4BDmaOz1s/LY5UmkUcw8gPR1k+26vmE4ThKStcGm3M6sD7OfGOLDhBgFoQ9L
FOp61XQVt+TXbY2ldGmvJZaJkdb8TAwDp5G/ziGs+uvDGckyroND3rKqol9JMoSYpx62Klm1UHri
bRONVbQTZGg3H1cV5HyR1mz+826YR48rBgs1eEr4i3tM7Aw2J4PHRwzDE/xrWJfpuH5tFrXDwCUs
bC2cZW2sy71Gs7Q8WAajkmaZ1wbtuKESjU3mJ2xRZq7wI9cjsyixPHVtpyy7W40irjM23mLN8k84
J0X70cTj/T6ANJQxhkD5mjOUnSHfy3ro1TOeDo1x0calIa4irtRBEKHS5k9sASUsDK+qi28kZSzt
XYntYPs0klM5fiDACewTDm2HaZnjjgouUYajtgob4Qjd78fRJawNKVEENitLs4Q1XLCtkvjaDVbY
rJJkFvnJbxYojtXQkkIfT/mwlvRLO860VTxSAwJiA4y5+xLYVi8gZHSziCEqiXyC3VPYM47sKuD+
I8ZpBJbVJexkRegtxbgs2yAlFKfdRzZuxxc4wtGelCgYRhyD1H4IPIxyQWWn5T7OMIlj45OrgBt7
OGiYAlw8pFcZ4L4u404HW0LxvDU02LORfqOfPaIG6aCcmyMtgqAyzYM14pqzjxTB592mA2xNwyRy
XONG4WsqPvW6abP6YCpvVs0uILNpup/gTHRXhu4q404YQi8PXcWo3ritlO2nxRviqt4URCG36gAC
Fy8TDiuekttgWor8EKUd7iMLYehlvQny2rGT0GsX3fhfrZIQ3m/AqvUwrY7Hc4Ofp+v08Fzg6noY
jWu3Mw9dVDUutGsQ20IeopJ402sSXYw8PwxSUdYm3xO/grhshTXCWnihlgv5kzhHp3OM+Lq1uZkM
453X6tuci0hCaYoRa+rNiOSEbYlmSKncT+PsKiW2KhpbQhlrE9Oa/Ii8yqUawzqbCdNiiM34r4wW
H6JD60C7YlsJWEiY3I2/lo8tGzjTIRFyXeFKiAQsJakxwzbZZ9jOxPRaHK1G/2JpYoOSFGbKwNaD
J2bGLtNVbmzTkcAhpov2PXbvLAFEkq8nBy+zFq52FgMk8UPflKl8dCtdcSkkKK9caPo+YA2qb1yW
SVdrKns/x3zPPgjbpQoeTWo3I6QDrVjLMh+vihEPzHHtkBEk55orf10uzjEQdkFJVNmc+I0Tim+T
G6Uu8cGbXLds1wWxLGz2aISUgtJkhG7KAyKfb905/WacuNI2Tjw+u/cWr14+DvRb+BpJchO/zMzq
iLmk3RquwEGTQcOKkgvo0EVoQ1niiirAWryhgzZY69WAnNvlwe561Onj2FQ10ufMqy7jOhvYFlEG
rLVUpby1ZEkC6IMBLKBKdtZLb+g5D7ZovAmeg2tWgRts8L2feLaB2bo8ftbweS2RXuEeqct1l/pr
BxNQCgaMf80VsZABnIdqYzmRwYNUsciC+jCnZC6/FL3Bg2WZydYr6LWBNcPxH09iaZhCm145CxWp
VyX8xhozS1LQc2jra8SrQU5ICu+aOuDOLafIfSyIysvPP14jG6ZlPXD867t7n0YAd+xklcU76jU+
j3ibxrjUJDfL+P/ZO5PluJEt2/7LmyMNfTN4kwhEwybYixQ5gVGiiB5wAO6O5utrQcr7KkWVMe3N
a3RvppSMIBr34+fsvXZhJtGzLgOvKI8ZNsl6PHMpR/XDEpBCliHBF2vzqe9ReWRnwmzWosKUkHRH
LJ3zepAP/Y6HpaZfZ01bVN99IGO3tKlSUjtZq3ncJwj1jyYIIx3eLPBi2vzSTwKT7zMv7voeOA7G
7W4D5YBiqxrc9RUhRGNteDVFx19INN7j1wJKDeVhB0aWnPFEIXg5dHYAsiVOf+2umdYpmyYDKgrV
reMg7n8A+bHWmxJryrxFVVhQWZtcgeI9WcjQmYlemde/TVVCXB7sq4Dt0sr4XgRxMSPjuwCZTNdi
3hHrt/31epTS475Uamy5qYjYHVlfOpOj0xeiAlPQxjBfGFxgKOdZqLb5TE2Ap7h312e3auyoOUHT
SLWM02oILWIcJVEOFLVjO3NvlaFxjDBB7vkVTKFhF0OBWUvrSLcc+dIgyvtX3avcqRFWKiFZXObR
dS7d0ZJls0k8m+esNu31EMiMnBMbisH1hpDqQHnJwZP7TFbwMl842HPnC2gk86QPk+105avOrImL
kvyqfIbU1NQaA1Ywftsc4xGFwd8n4hDvHYXBlKYmp68m7Rz+KeXMQhKyYRjTd0erbrlBQGGaW6Sa
GccRotBx9B9DH37Cg79UjjK2xojt/wbqwHroDvxwrcL6yVoP+XiR1kI+FS3PRzIkKXdNAp6nXJ8w
AUTbvNdMrvdB5LVwZilCWAMWq+PIyNxLIPdfzw88TrjmMn4QA8B1qRSsyf5RwCACOEsaLo/+0Qot
mLdzGVJH/Xr1Gl2tpVVl1FFD5EHXVgOkB62H9cFoxrV/ZCTOvD6SgRmOzbXpTlAwuCDLeuL2IkNy
IUdS5XnFOS2n4uSDE6Z4nccCbkXWTOrWnwBDnIXwbKpjONicKdjYDJf6ACmUZun0q7Llx0Su7Fmr
iq5ZK1Ebzj7rzPjr1AiPquQt7QpSteoTBb/yyX0eWZ13RGWup8BfB4sqWdYv3S6IEdMtb9kMuUeG
CydeF3UEDzqHJIjTWzKkGMjtUEKvX101ZC7VxLaoBEMRdhy3PAVrKBd/cZl5omawTTxrktuIRhpY
eJ7/TCkfFiYDmdOUr047rSf0+dfKEWFS5xoCYVqfys+7Rv9DzwgYIsAKBjqB94evnxl6SEpuNX6b
ErmeM3VmVJkXG+7cVREytJ7f918+8mNXjTYVUhHPXdt5dvgHyWAW6FxMCVza83HBvFe/Ho0qNNbO
7ue/3Z8fhQyAGtdZB0aMpj50Vu0sFYumO/Etd5N1fWp919EUhSzWrF2ff9bPbuA/+8cWrePAcjwk
jA6c6o9zl8FcFc3gy79NTg0T70Jltc2T6Ek34zXM+tpiL1wwJJWvqnHRbGwUUZdhtRXS5txNF2Kd
bGDiWjs8w6+V+e/ZR0OK8loiBd7AngALe+SfPv/6f1wqh7YwhS1Dc47jtrn++T+mDFOf1BI2qvcq
c2vie7BBrcdCNleOUJ9/1B/PnENjGHMC3h36quHHfjdlVG4j7BevURaiMz8mM/m/j0ji1lcEw9P4
r4/cxxEKDH4r8G3b4zOxHHxkivTd4IQp/ftX4aIbWyhCcrqIioQQNgg7WvesJKLep5iY+ecfRMiY
/TWrHSqyz3/3j5eZqSkQs9U9hALWsj4+kSN8MWgJqfNCT4Kj40y4y/ydGJb1OP/5J328yrYHUZdB
rEmUDBOkj83rksKQiXthvaimDcoTyr31aI7S32GTz1Yk5r8MHn/nJjA0gSBB25khr8eEj/bR70+Q
LMKFxWTuX4gNWvvJvZOsyxyL4sx9TfqummCB5+mc4QcvvYyd8fPf+IPhnW/g8xBHpgP5Iwz41e3f
vwGnRAT/Imheusyc02bHLGspd3Q9sqggwH4tW3SfraWxDwKLm/53U9zw5Nryqn24FdnZ+Ovi1IQk
cI1o/c+8xa0bOZwWlips2BIGrH8hWeSOBA2+ya1SsloHo7dulhDSWt3C2jZ58TdwaNf+qwwUzSML
QvoI2a6kRbfDx0G63FnOaBlfAHzCtbbCJbOWXUYP3o02MpoI7hmcb2qbYHDWLV6IXvC1gl8N+oHS
nlWzLO21aCpITl23V9tai+WkqAtWEnMg/mCF0RU9nUlbT3ptsjQlbdnPL/8fD1zg2q6JCWKl6P75
aCtOFplhLvNzm3XEWR1TIdcjEDq3tQL4u2X9+Ueu6/c/l9x1qY1+zmhCtADBqjj456LFoAxsJWbK
5whhNXdQ5ZFfnrwwwJR/haaPb7AhpE5xiJqsZC0KDZxI/MvPv8bH39wBZ2iycq45I7xzP8ff/1g7
G79rRu5l9ly2tD/PwezJ+gv2ULu/tAd59fmHfVxBkMCvtq5wtUAyr/Q+POS+ZaZ5JobhRXeiWB69
Ilgfi6IQa2X1+Ud9QKGsPz0MgCibkJbZF/5wPKbjZFZVo+0vIAfNME5oX8p0n9JG5aSLUp3dgezS
peZ/Aho2PJeT50SPHNY8JJeCti4tGI486/xejKAW6SMs7lqo5yknFEBvvBVZW2RrW2sy1jZAKFft
2JkO/bVNTFoAf1sblsMvZ5Qee1GaGuukyNL1ul5zIIC1fEY2VT5X+6Y1U/f0+UX4cL25BhHrCgpx
JpDOnxNTz0sl0alq+qLqYt2Zk5ZRBZkAIzCcx88/amVT//N5Xu8pixdAEXJx6Ot/fJ7HVtBTtdzk
IXTbn5+lPFqnpe7WUl+x1LME/Zq9V4h0uArN1Kxd0r//CQfb2iEwRvzMXz03WPuZnAUFK51dk109
nhlloYzlkgjZzGeCJWoyN2cCs3l3yobUq6/5wqKm938P/pgWrUMkoyps3p0FwxF/ptt6veGLV/Ap
xs/pePCrNYEla+3xGms0OONHi6pl3ASahb+NZZ+vjeW/R2i8kTy7BTMP9r0kocvhbGarHmmBfH5J
w99vH2nSayCxaSNYAotvgkH5fYno+A10aIrke6Wd4GvRY0nc24xHj34ZCpcefyb3qTtFF3OYV0ks
3KQ5QuGrHnWaQ1Bt4JowNE0x9BOZsbIbZfcl4fw63FTToLNtFmpyQKA/1ozavsP1IM3P741s3jLL
8a81IawXGfzSEztStnBaz3QZG0PhPC3MkfU5ZsEC4xwxIG5M17B8BLovORxU8JGxbPc3LrtSuXcr
wzkFc0/Ur5gJ3Y34hhkz/POqspkSFELSzmvRABfYI6oXVBPexTylcKbU0plW7Ig+eLDZn19F1lpk
jIJZpIWRQsC2i6Z5GANHPeaOQxw7bni3IdLdE8+AtwcyYUV/77vDQFkEmB/TZbFnTDAjI2VeNEF9
iHJjo9xan1dNu8NQqGnYZEXxpEKfzOMQQnQsx759wONAS8wlp41un+Fu8TLcunI2v9mzHF6sYHG/
ZMpT22zy64syGPKdC1bp4vMn4vfFmgeCsTKLmUep4NoUCh8eiJb2T0DEEmjWwJxuIjtpyp1frTZ/
vzf9L59/2O8v9K8PCxDKrds8NdzHiiRZXEq7PmrefDOo0QhN5gOcG3vY1HV50q5DUt6UtvUtI0Jy
PT7/7D+e/J+/JlodRjYs4h/PI8obopYUp/qta/B6ECIiQHHVDgHW/7JN/PxJ/70N//wtXdtGeEAC
BRvyR5XOZNeljd8xe7MgIhDuabNdbFoOPDkhTBVWE7tO7nJsLgQtVR6CfUeLvDro3PMRkEtkX4j1
/Ove76PzxuiCL+y3ZNvSV5SPdU3xYsumJiRTWu4tzKLmvVZOeImJIbjV9mw/RQXnVBCflgkcskyv
nTriOTaC2qd7UzKLs8aIxlofzW/FKjUtOtXvrdQzX81JOkBFIudfaqEPIjwuyVoGUAZxXXA02R9L
AssIhskl9OnNVevFz3InOzhtUR2nZXptrKh6dgx8jQpwN8HGveEfyaAhlevzR8BbH+bf7kywijVX
PQg+cLbxDwWSVSY144MseEsVgwPaaT2oAmzjUYxZYpGxduvpGNQS7GZuCCK/6egfW/pWJy18dOwE
bxnXi5W6R2eZaZz1xNuQPNjA8S2NUz43RHA68wGAn/NAD7S6bg1u2sZnMDZvFzkxdinaIdkGIgru
KBt1i6knf5+JZbxyAsDjJZ3iY5624rr2ZCXjNhnUt7nKFMkfdnlrNIRrbfzJGveOLfFSO32ePoxg
VAESdSa/QDZZxPiCFKyYX3d4XQL2xHvXM8LLPJvdJ4uudkKIYwnq5/OL+7ssiVvMtcVORQ3qc5oN
PmIiFS1h7nuQvHW5613B0igeRY77LS67xryyxjXR6PNPtH4Xvv78SGoDjjiEwCDB+5jKQqhM1dds
nT8KUbjntM0Iy0vUbFzQqCz2DCIkK72X9m/CMavHPJ1IQc4j89bQkbP//Lv4fz5alJosn3aIBRBX
57r8/KPo7cfaG2DGNj/SiQED5/Y2eWmBcei4q2cP4Ltd0uEgDZl0dY9eYVxkvnfMVpYmfZIowk5u
AKvsWz/4mkuyUmn90kJvjCE7lX4+HDvHma58zF5nhHam7qYFIjZuhtmywWELOEGb3gIJBB7JEweY
QGJflNI4kZ1DjiatDOOScPaZQOGR7QxAj9inI7v3FlxteVkz5qWidGqc91VXNUhKxoIZLkPPR09z
NKUWGe6lPTVn+GWcftMHyGV4EhkXbX26fjdOlDeMXFHUIYOfmCtJsiXS7YD24TSKCMNMmwsfXS14
HNKlw2DsD6af2k+yb/OvZMLJdxdoJ60eXYAj+Pzu/Ln+YOmPEM0hXcNK8Edfz7GZhJbTWP4gL8gM
gDlGxTdUHjNTQ24ZZ6rgjaSRhDg449uscXygHtXi36IX/6cHdkWowg1F9gtOcd0f//GQoJQa6mEJ
qh8JCYUq/nlD/EVl1WVe+XJvLjp66PpGQdjGtS9w4T9nkBsEz8liPfzLNfkfXlhCXugts3Sgtfyo
2F1qNep2KosfaWD69/jdhju7Mow1bDq/YF9UV6rq5Llwm/qM3BHrJHEp0GKv5HSTB1mIILkZ9WVu
KOcd5XzngXTPy/t/+ZZ/lAwwX5DP84qjmeZQ+eGS6TqZ66hz1Q+63l36hcrCG7Z0EueNGrDX2b4u
mSkNix9C+Pba92wxA7xCeKLGgxO0w6MHxe3SDMbyi02sLRMSdoE9+I6Ky50WwdbtGPf+et7+12fx
MIsf//f/vJKm02CD5ZDyXf7T+E5f7XOGzMOP6Xer/N//xd9Gi8jB9c6+x51G24VcllX0PwgZ0//L
5+7yvK6xXj9Bkf9Jg/X/QrzLH1HXuaZLafn/nBa29xfnRprrrrlmeK3m+w/e+M+88lRv9m8VBC1K
24PBzBmKDoDv8Fm/v8GmpC3fta15hhOvf9KGG2yGipblZFdXC6jUXWYAAkPeX94FY3gaBqG/AkPs
7gXhkoCmh3PFu41UMVhObquMs5k+THLQHPpvVNMZryoIEDFApOmOKFugZnienQ439Lpn59Z1UZTV
G6OprOBsYcZlX0XktrZfBsjzIBGNcmmdgygZVJ9CrJ+rVINUGqzcKJZk7XK2LAsXvHdqBpoWBEqY
L7TwJMVAQJqGBfhj8nF722SQ74LMdId9Vrm2OJdumleg+ZsyJJdxAmfOfAcConUetLP96MLu6njr
WvwkW+ky9D6wTc7emUIdRnolOYRB8UCIoaE0fHZO8ORYeu1rQfzgW+oX5JaQjMNcZyWVmBqvPGRy
834CGCYQt1XucEACaF8wu4Hcpfwou0jYeeDLSWYAe40sVe8QvoK9IrIbYF0rnsmKlfWmQrUBfmcK
6eCH3vOsPQLZnTQ75kN+n1aV4Gap4tTZDdhJe3ws2tw5FBIYoFVH6bEE+reeUtPsCdMWCS0z2IIg
nE6t219ko1JPQ1qTBVuxAdZTBqNXRwKTqP+dJDdMcmp8hok/bG14fOXknKHueZw0M9c5sopzRkLf
0rxFU5qU6n4JFa5SUkFx/tmPpMK0K9B3PAxBFuxDknDxpdzpJX/0K/udxDB5gUV4RPCSXi1ZF2xr
JZ/bejhH+90cS5nDucG6NyHxokoQPhwShvA9I9UMYcoGvt6jIMEhVr0B363WP/y88U+1vyQ3Y9T6
G0z1yIuUIu7CSeJyVuXB1S6hHAvcnsLxY601ciUStbYuUd2X5Nv3p1BCWgw81zwL2jzfN0i5UB2k
WK5XNU6ubH2oNXDAMOum86mf553oPOMuFbMLRCb9kZAjek2G470n8+m+qecKpVCdo0sU+bHB2bpR
OXGeTrsSthtP7WXouWesC9m+7+1on6JwQ+1iROh2xh+tRzoAaZttnLB2YDxUeQM7Iv/WOmRqMPpF
oZr2cD7NGqYmuJvN0EjEJ4vhow3WHJQwUW9Q2z9YGFmhNNCOqJKzZWmIDhtEt/Gk8eTNiblxyDc9
zzov2hq4ed4d5fUvagnAuEryLEZ3LWs632WeYlJs6VJd+Egeb5Tqw44WwGK8tyQTOxuN18ujtCNI
N+4Lvcz4KSfjiJVU3c2WHoP7yi3FDds5rnh4PfmVQOa5d9o83CVBEgxbq1LFw7DaryWI+hSWUWuf
NyrtYes4kk/jwQI9nozyO9u7szUTrW9ojFtbrXks0ghj+iaEe/vWCRbVXRq487mSOSEQyCtH9C48
WtMWj485oWCzvHLTDhRvFmipnDozEXufaW32jo2blKtwjDpE0GYnxivsHsPz4PG02Ggis2VP09Kk
9x7VhzEPEdR0hn0w7ZbfrBzPgrnwD2QfsUpMIBFpZRo7D03AxhEEIBLJ4OySaMGCnyYQfMLl68TB
7zHIxXRVFcYrr9STveQQCZmA72oKGWl07lVBHR73lV1cNEb+hlS5j3Nb5I91X1QrwMrLTzYUUIsE
Cqxti1VbN12dfOkquww3zI2jS+FW7bkVyT0uH30JJEvc0QQw7kt3CF7t2svjtIy67VKvIFSVZrzG
4wRNNFk9sXM1myc/weMvExCNtGzlVTUgu+PnNPv2p812fWtLN/GxqJIok3REHRldlR2CSt9UmZvv
8nk4jvi5SNfF6sVespDxgG77dnTmZ4gh3hH1VvS9t4dbxAkZh4TS0UcnlF/9uag3uWkaO86eZ25l
heS8khXO8F3I96R13R1iaIOMZi8jTkVZcWMupG+1GFbnNEz3iWuxHoTzVT6G5fVimPoEnwMW56yC
OG8mezMN4K10YKuddO30kEXAkM3RDrdRUaiNsPrDbKQ9a7A8MYgItgtHxA1nPJ5EQkDOJIO6jT/2
HiDT8Y7hJCETYYsX361xJiIaPnbTdDDmjhghUyecXiYT1UdUf5/R+EEYdaCwWVSxYigJJalbstto
BwwPERrh2AlLTFOMQOJBdmeREUG/N8T7RI+lzoN2t0SjIjQbLyJas4U0HNCX6CyyvVIAMo2yewPb
f6pkoi6sCXIIGuVuy3S0ubapTC7taYU3mDNnz1yaZwvz16NBd2HTiQZBE30n5k4klBghvzO5nsj0
6pL1rvNfFuAxdFcDa5eV8sVuy/LCEwlZMXMDp8YZZ5wBhXXJMzAccGMRxF2W78oH+DmJ5SUV/NRy
AVeyKWYoLElLOgNoMpZ+dOLfagGLgNNwfwNWNcGiZA1XoxtqNneb9qyZPtMDfRdR98OVebVHfD5t
9OQ+1UQeb0GPdI9VyI9CU0Tkoprke0/W1rZgNhe7LKKbYEAVRuJicRvZrTgzQ3u51KXkMgTli6oT
CMWat4tVSj+FUPO3rnTuc6B5WwBkakN8M+u6n1ff7EbaFPe0vemf+vtCB8AAIqMhm3mpL23LHnfI
Ll0MqPM3zKLzRqNUB8zAdxjRmuzMqAsfB9OGqOAMaFabJaLzngUEx3PBBF9fy7J45rUv5UmOEDK7
wOO/dcz5vl+Pf4RCbo0qSm8Vh/IbD9jZc1DgZvT9kYzb9Mq12+HoqDB1AHcVK2oi4UJneeZ+AcM6
Mu8h42SWIeDcBE5Rh1WeO62JFltoA+CR0UhI09Z+o/fZeDHR6ahxhNVea2uRR3OZgmMweeHLiPjh
WZmEBqExv15Mxyh2Wmf6SGfbufZqX++spZgaVlYhNXi2eRvZOmJ44Hk8EWZ916E5uSMXZTC3rJoQ
dTgRAbd2h+p96BmlrS9qyj2F2r5G5PT+QQjL45VBzQisZogWNLIcZTG/O/cCUdA2kOYltMYCbkFk
fkOwdV6NRM/ERZshB0qdt8ofvPvGz+3vVloY9XbBnMtkKFfTmSC4oQO2hzwuxkI/fTersIpFq4Z7
TGHdWcLieVrFNgfikm4WH6ZTG8gg1mwH09EyloLH2dfBW5IGpIPbQ3AdSS9/8kTvniyVe3GP0WHn
5Y4g00osVdx3AVJL6bR3veP2KFq5FFdgo0KcAQkUggByKbyQPpR1rKdhvm4YeBxSqy/2STDKvQWS
fif4XgfZ+8ah8DD5Hbqgyp9Yzcontjj1FfuyeU9ob3I0ick5M72Rijfp/POu0UQ35cZAJ2P2x+ox
tfNivtAGsLtoyfpzmK28EJk5ljtav9G53fUwZGsS6TegI0Xs69TcLebQ38plkk9muKg3T4wakVcb
XQCtk9dM9/svrePRwgyGFm6i0/lwgD2ghlRXy2PE1LUlbdsbRojDrLCIal0VxUskHJIpKjHrXV7w
PlxEoVvXuzCp/C9jEi7+15R0wCXW4cTOGio34kXsJ7kh0YKUFbd0EcQ5ZfasgxEKA/FV98AkSNYc
ssY4Vc2UPye11+zhriA9rZepOlMKYnURFmm4cUkCDTdDTWi8iXnylgTj5jjVLK99Hd2PNbXxgPfi
W1M3uMOyoNgDcUkv+oaSlNkrZD5Z6/rBykbUBGZgHwCCl5d0VcEZAkEGjd4hITIW2M9eL7z9aDXj
LebOvo+9Jak3EMggaBeWuqybRW1cxj1HFUzpjS2cZL4Lg6Jvr6eUrM04SicT5iPAch/z6VstsjVm
jwgj2xbDG+VmHqqUxI5udO8JrfJLUgLV3IZBPxyLKKshTyERXS7gohhbfyisXbWIpo+dIWMdZRpM
p2zwnaOkE/hEVmSNhRuZX3DsS97FbwxFk9g0iiS9zKGDdmCAzL7YwdEYY99WmnEwqGxWHzpol1oa
ApluZN1NHZFytdUZBzRSWaxB55x3Yy/Oep7JWEknvxS0/7aJrYL3um/d72ZTusumx4BUHKZaPAxl
lOTPluWqbe1GI7ljEJ1CfFAeHasw/EE2X3r0VU0JDsna2EIqCx6XYjR30EoXPEdkq+4He1heTQrr
i3EW3qbifEwr0AR+5Krzxe7krRC5+JpNbn03jhaAD5GPW7t2RexllkNIMFz4XVquoxMzoTroyuGA
N8La9vgHrlzaNjGyC/fLQBW5k9MUgQG3il3KXkdx3s27ye6BY1XBmSEaHbcc3O9kmkf7vjTtV8+d
3CO5gGKTlKxMFRg4sl3a7JCnjqYL64WXTl773F4cht9gLOtDZbvXzpRFb2bTX2u+yaaXpr0VaGCP
HdFvlFIKZxJH2mkDOHfc8dx0exEBVOnmkvMND6UJ9S1HTYbJZBdVbOPJZJQvAzU9Xr+gPhpYKWPM
OOO2Gf0mBMIgh61hGvPWxfG3bxNYYE0UGNeSAcSdGLMjI+7qNJFGtGWIR2M2xY8CHTzLfgicoqck
yXMW2i4lP8rg3R1Y+JUAnF1liHl6cl37Umo2nXG+zaQZXekpLXdgbP0jXWdvR/IXC+bQtue5ad2E
IUjvYRimdqtE+joEmG2adpaYm6wuvCqNrgdsRiiaVSXuBnql85zio4AYPsDhrPOsfjbE8Nwx3SMm
Jzy43mSZG9C7b+bExgowbDnDR0mGGwdPJl6eVJuJ+OPtXDp0H5ggx6h+Xz3kYTvN3ULJOn0ltfYi
S6GaLd1bU1Rfh0Kvz5sy251iVkz2nePsEGjZmyqPkvMiH7zXcsC3XeP921IzW6TlQQmrdr3Nnsf0
u7ts/aLhaRmCg2WWwZbOYX5ZpWl5Q//BNGPlgnfZaUEDcpDU2wUREHG3tn+mcBBnUddVu2XUyzEt
QvPH2HBEK2ShjyCEFdD9zr6FGktHQPTfZTbJ86DOi40ZlhhvWhVn2SzOQuF3bMBGeW4Htb5dSny3
oDO+cV6jFJubHLntUtRnjcLGtE31MD/hGAV4r8eTQ4DUI6XUQ250HVYYGVxkvjNuMRdTOLaY+Mel
I6hIGX3caPUSWd1pJIJikxX2I1LEclto193Trg+3o+eET0yV6o1DZzqOzJBsCpV4D0tbehtvKe2L
Zs7oAgPyFcFwBOJx3/vWaj+l/pupjiDiNfdZaz87mVWdObpx3yBA9rGZ9k4sjPpxInfsXYjaIEIC
5hstZjFSfE9CYRP26zt82yaBt2lhMe0PkxdtqpIcOK17GhTzeEfe5oI/KEwS2k5yHHGluHNO8V9b
nHGIFiiVE0FfZ6S2Qb/Z+vx6BH/ARM4kUCveAd8s+3O7oZRcmBJx1ElibpUITmXhiWvtuxTWVknE
s405xtqQolkRrhhW1rBTZobtDAHgGf+HPyqb8N1O7TsEdSwepDyeR8IszzHjfcEmOH4ne0J1h9Io
ySvzlUuoBYFGXjWdLzkjb8O0Hnu2pG1lSbK17bUXKJp0O0cq2DB3gkLpkXaa5JZ3sD0q4XSwWRLw
tOvxWLQw4HX3kobL+cQDvyU5zjwrU+OUINlArOd1O/jW54AO5Z5kqmAXlH51Ljzaf10EsK6h1Afl
NiFPdLvLPtW3UTG8mXXOE5/M3i6amtvOFU1MYwYGPnYNdE4ygxYI3i5YauN6tN2n3HKHC8l0Ox57
yPMp3PxDho1jl7e1dcQQbsS9p4azRqYmnQtJyEVJ/CK661tlmLThkhHLWDu/lKlF50zOzj4oobUV
0vmWeNq6H0MSD/xpHvstCgo4h0Og71n77I3ve/2WaF113nc0o0yr2FoJnr6qDw36LHlOqIeJJj3y
m5Mrq2GbLI6rYhtLutqR+VCvkBWUgB37oxUtLWmfs3gdrLZ99pil1HFJdMB3IgAAWFtzabyubsDr
AKfGsWDD65HyB9MxxDN+GZQckcC3FsCf8/S8N9x059Tz/I06i1crFfVrXljhdTs6yQl3i/pu5P57
2lszcbiZMZx3tKFvFzzKpIySiLEVuTl+wf2mbmw7c5erfgpbYuqDuj3QBa2hM0pHxMsS+XurzQnJ
9Mt8igUcj36bI7Tf54JJoYvz/cqC4kl4BZvBMU/0w5x6X6gQvPsuSdt92s3yyHsw7/x+wFcZhY9j
6LPCZ419n5IpvSVs+jq0huS1nvAnkQoabuEk2XkMqbI0Lkbk285lBRFw00mdXVBDyGmf+n1LSk7u
K0J4WX82vsSlfkgTTPQ0iSr4evTCVombb0HdWfBpQggAjB34bf/YCxcIYxeG5LEz+IQ4Z9LjmwkE
hxhdWM+QCyLnasw980HzA6BLdmp5UiUxsLzGWB4dGtSMQZt5ODlKqMuAp4fYZTHKAxPx/HIRKElj
Nqw19EilVExAJkk7lzW2D7lWQqwyz2RVBi9un4EyK1UhQQ0Q+90ZU0fRijoR7iUOKxypznTvYa2h
+WSWglTGGbWgsI3oEUQGKZ5ZWqRxA11kQgg0z3dzqaeSqMw63y0oBciTHlYljM0WTQlai1g74n2k
vIb62N3O0Hg3Cxjpc4GjMfaEGg+EM3e3sJnsJ3ihzRRDiwLR2HvWzdAx4GWmq8O7wevZT1nL2ptq
MfQTgQrYh+BPq029ROGpnw35VArDvDIZ9x5sEaIlUHpwbgeEkXeRwSiOIXMSXaAvtJElwN/Fvqzv
EX3QDJ1suHObtmFZ3dRe2BAlD+Yizr2h4KVE5zDHaqQriGghSosrOvyS/STqneqisOzZY2I8etzp
utglsk+BKZbDDf54sJb+LOydQxvqwVyC9LxwWSqbKpvfK1Fbz4k1UKgtPk4VOh39VRaB7d6kRd49
Kd9DYmGw66bYQ9nsUeBy2Ml3MJCg6RpjSEZoX1/08M7P9AhNVRDVdCmspiFZCwrPJcbx8YssEKqz
ypIpmRmju/V7N2E5kWBDy05cYaAKj3VmpbtBL+IwDqa7dbAKphujH+UprGrnK91bAprbUTyY1HeX
fduNeyWp/mlnBnRpjOxuzgq9DfHc0LRvCzzyQ31SMvpuaItkWIRKRz/z0BPOi3WKNK+Gg2N3l3fO
Ganc4U0z+RMeSU+f+0aA0hBmQ+xKTh2KinFLv7k/H8hmPRl9UF7COvvWhJO108lsopSeX3GWZ1vb
RTCZhAVtRSup6ZX186ORO8k+6K1sJ2xwmgYP+iHTMO50P9tnwEXo2bRlM9s02pY4cyYCYZBKIHNA
nokCun/OK3feclRYjnM/+fiyrEHdwGKgD4z0p4oRIerqbvKyPJ4zNpvCg69AP0uXl0bQEZzF+IYe
q0Wl0WZ7q0TgG7XLlVcu/HszuR2cab4eUatDci8fo8H+6qQs1p7R7HLXWWI6Ja9R0/ubCAUgYLQs
jQlQN+MmMNq9bZXucXTrg5sWdwsaxLh1PW8bKXNZKanXcFCI0Sm6J8SoxY2fKtAH9pHCSh704uoX
Y2IMYjvGVwdMHDNlKuSJwPuD0GzUU6he66jobkfV3arWruaN2YZs7dZ6EMwq4xr0EvZC08aABSvz
kuCZN9cI1Km1G1QWrP8b/PCofd3I/SpHjySberrUguyDvuqefg7b/3ds/S9jaw+l3j9kCX8kn2xf
KxLx+ib/DRH467/6DyLQcv+yaJt55k9fDXT2/55c2+5f7iq1RRXPa2W5yJj+kX5oBWibTUBb2PdD
1A1/MwId+y80mXA9QvNXNMr/V/rhB+WJZ2JGwfOFjDpwcDSRCf/73BoObis6paYrkvCi3X+xd17b
cSvZlv0inIYLmNdEepJJK8q8YFCiBG8CNoCv7wlK6ktSKvKefq6HUo0qiUQmTGDH3mvNNYxAh1aV
lbKOZu44XDuamI6pAp+60fWsg6RsDx+YaEBtbf3y1332H1lxxktvzNOnsZnzL5oxHc2Yswi7nulg
0PZBOol75BuyNE5RBjF+1buVw0tvAOKM+MjuP7tDjV63KTxESjJtCDEJ59a1WSHd8tHvOv2S3xFT
veW58QFfimfsQL6F3wFhGeodedeTeu1/lIM/PzF6Qbwc2A1oYL+SydqL4MXxp+5kISCMqD7n/MOA
0BAEC8RmuMCTMtJ1Ap2WlioCmtWU6Razzoa+WDNU3SN41dYIUBUKZg8JOdZdESMOdRvBTgB/eXyF
uvhYtD5YUnqy/n0by7MsZ+3b4KB3LpImHords7v46ufHf87s+/MyYBjR0YnRwAIk9lqy5zKJGbU6
b09lF/r3VYTyAl4RCOVVXfbqChe6f1uHRv7p7cO+lByD5IIFiT2FME7uRf5YPtazqy90Fdl1G5Wn
0puNk5HF/anEuJp4YXz/9pFeiod+Hon8BB1poGP4rvfqPqtJTpklkoKTV+v2g3xKDw47j1dVVscb
9gnE1dL7RzaXwu8o3rtpXmoCl8MvqlfQcgj3HVaHV4d33SUTuyyS0wJ2fSjA2zxk+ZJgLOaipbwm
MmfSufS7MZdPkP3K/d7lfnsYCdci8A17Oyl+ZNwHQAiKD1ZTm9Y6Znj0vdaGmt7gXLiB8NEi7AEH
0s18++y9ouM9fX7UVyb2cN8kY9t+LXZxelEKEWp02EO2K03Xsg3Wsg42NVO7MjqOwEy+Rp5fn6tZ
xsBUbJUEpjG4Pzp3nqtgiiMEVsATvieN5T4O2Kjdd6TFeHC4XZ4/msiE0NQx41vk1osZ6OXtRJMi
0dnJWxepLevQ99adH8+7hSnib7sB1EejpE6feeLlGePMDxqj3LUmLJHcZiSS5bK4qXNwCEjbxujj
yNDwQIoNvQIh6w9wMXD6IJqFDrBkxSSdlY6rMG3L01gTJkOKNW1KGuyob57SZswhLvaCZJ4bM42u
wDFbapX3rjx1JNV0T5k1zkB8jZFMJmuD3c/wd0YvPcdoTK693tvHeIm/mZ+ScEY9tgtGT1NCqsKS
lTMusTnGSIAOVc03apLulr0QOiFa5+42bGVPLINp3snYGEGjuBrVP7yq8Ktv6ST1JGiMGMkR31PX
LdUbnJuDIf38MUHhzHNvEflDl0y5q2EJAmqWSCBA0vUOabd/KcdCgcJq5NYwFClCOeSdKBjGyJPB
sAQNFbjy1n3tXxIaQAqRAXp1z6vGpJ+5xBR58GA+0SCMz0xwBrfC6ogz8lPNJBWnmB88tnobdCfw
noi3jLaaUvoD9JXxRxstGUmk0JOXVEYm2UmqY85sLYFK01O2UrPELOWdVexL/ikKKpsUJucpkYlB
JelMbjjSQnnKbGLrHwaYFUlyash0iuwl3WlE24bmbcl8SrmTmO9j3aDlbLnq3MnmOQ+v+1ECW1hN
CUit5jEOY9OcP7ejpp6239AqsuqbCaCpow/bd31f6yfUEqQLHv1EzrvBB0J2KJoEBXzK/OdWdzXr
kE6WRduRaxBCCQAoyuUqPLLOw5D3YZdno9w46JD0AJiBEV6i83bcap9N7hivAQj6HcLezuKOGhn7
tiOBmULbOlqchpdg5S2H4ZxXsxcxrKwttmWeNP6yH7RJ7VVkUgZaiBxPoCDQSztAnV4wYPP7MdyO
RLoUmxbYW7YFaV7MgTcLVszSJA0kKGIoLCv6jlF71SYaE6QqSrwfKLyQbq31yux2ie313kmQShQe
S4t5nkjJDG/lPO1b1HUNOwrE+AUpwsMsCbdqywSFhFNMe71tSRoVkJ7I4mRgmO+aRCZQZRzb/Igy
n9x1XIjZEgVe6Nplnuoa2bFdWX6k6+cXB7aYHWGrcefcEB9L5zwFXGSg2IrpWa/c2Iy7HfHDNCZ5
GVvHNILWvu1rPgEzQ2KDN56h4EOA+KjHi8KbuLU1HpVmHRogNxokh/k6Cq2oX9JDuZyJ2y4B7XNq
zd/xvPs0IPgATCjYVMmDoZPlFNHfc4j1BVayTqokXM99SAdVG5vav6LnlbJnTGQ6rwq8YNqZvrSJ
jDqMGFXGvltvDLxn1SFOABJvMn+RdSz/jg1U4iNAY/4qsR4l2pObW8N0PFWTtgI9hEaQRNSEGAlv
sDXrDj6Q2Z+c2iespvRldyH6klcSve6MH/ALzNPbEPhw+RnIFVHvkrhYtW1HMSdnBjTBOzs1xYNQ
IcYZj6axte1L5VobeLfkxRU9EIl1DgqkDUApAIEA7Jgz4KF9H6XDbSuc8WvdxNae6WEUbrxM0Jgv
vZDfI/IKjlPZDDAuVG3Z1y1K+Tuj0/gXTBqJjO+MyVWbwSzSZN8gqiHYx6UDeplorn9f6nK5OdNU
tmhl2ri9UpPdeUyOlgC8eCz5YFXLonvGG8y/tzydu7tglWzWNDoU0WatH5pXadNn2Y3pEfF5UDam
zotOdUvxSZzLlYB0pDYV2RLjoarmmb2eWXTzjiHB8uWXjz6yPvG5aEycEEfwLSAlcaoWZCDI1Gzg
0alziBvXZePyyDc9VUHE37Gm4uuJLyVessW1XMc6lxuLdH9RkK7botvppdoqDO4WMkT0nlx1HqaA
b8QConxjqZNxBt2HCGyP3pAkzI9ikXFfTJHzMOJKgSDVpNON1Sm9PYsoc1NyD8ssvfV4W+zaUjdO
0o/kZ5vMT7lotBLzWHmR35+FcUVfYmoYdlLgTohMTU5roLty+pblmbhSfUvvVurTkH0cnSJq90Wo
FT+m2V/WEJzb8Zp9gEfoCBbEltlC4X/U9LDYFmMdgSuyWeamZoxvEmjdZ0SypmItzMaMWPYEKls8
+v59k2pDtMnNksdkhp7iH+yyMuT3ggV5OnoGt9RmXFbsTSo0zqgiS2HDS2aUZ0bTm3Bp/LwbeNNa
A6qhRqZfGh/JvQbX0TjOftcYj11Lj3BVGIY7HJLR5FepwohnNI6REx1qLgsKkYwm61wNQ3ehJje/
TQfoFR7DD+xDg9jPI+PZINONdiZZKquqi9JR9rnW6YucSJbFcBZBx4IhKtoivqMSocnuL74ols52
APrdjkRBjgNqvTKc5C0hXEbyyahmi/4nKuNs+oAMRPP5ZUTwECLDNOGohfX4leg/bQhylybWAaeL
cU2oQzjvmh60+CaZl0RHnNmpdcXUcBanwqlRMcl60B3oVDH4uYnqpt2QHM1VG72SPlozM52ildci
h1QWWMohN71mN3uSuz+zFdrdiR4SvXRaZ/LjKCbjLgXvwXytSfx77vUC+bJP4t22N2s/3XpF7IxM
IT+bRHN4Bm79wf0gzJJoyhF3sX1hhwvwWYbYPXm5c0ejkYBptWXjQERjYnVZde42dWxdmRiynQN0
PZ/vpZQWXWToucY17l7WDLL/+u4iJwmMbSQy2W0be1m8RrShHybweQ1cU8dNCI6M3Z8u6f92Ut7p
pCw7OrZ7/+e3yP6PVsrp+/Dw+PDcM/DrR571UWhQ0M372StBsP//HADLpvtZ4wSOB75CWhk8iwZb
k9+NE0GgrKClonu4DaGl/zvJv7lsH55vLxx2qxwGBSKvbaBAfKDnu9W4s2mLNDV247B170FlicNk
GVrD7JMW4hTDG1urujqyASVklNUIFSJd683oECzXm60kz1UnmFTEc4YEIie3UyoKs8CsJSKTfok0
tQabcNMl5rRbAk/jeiL71B883Fj1EomqntJR6Z4bNz3Cts/lEp46N9TpBEItmarZ3JCviiB43CZL
6KrbpEXQPyWxuksoq+PzERnhpMwZIlrhkB8mS13Z0+Q6ZCN5YwSOz5gRZ2Wp/hUWbDsBd8+yR+lq
8jKJxMDOg+L/MgwrNoFobvnuRV0sOVoqydxDNTXkqc1Gr+od71j+1mpFbR6Ryk1XMhZyOkRaSUIS
oaRKO6KRSaszO0TtvqokALNr06urax9O9M2cZsOlXGItAVoQdEc1HAXhknqbjo27L/y8lEFqV3O0
T9jlXTVen2HQtpEo1RdWZn7A/cD2k/FjqFed3IcGmPJdEZqR5e48QYIm3WyUBvpapUVT6gEjW4X9
ci5KwvQmuLc2Ez8yxXgvxcyKHQY79MUSDx6b+tjWuBGsmyFD0dkAr0NtJRiiqVP2s6SGCU99XVdM
Fbb1U93d/yzCxVNFDh1W2w4/C3Xxs2yXVMzdecvCDcL3Z3GvtyPBoWYTY8GXdjssN44772eVipld
0cIxYU425sOx+7nNMH7tOpq2xe9RrIBtjK3xKfq5RVE/Nyzdz+0LbfNlM/P0FP93wXtnwVvMxPSv
/vOCd6jGF8vdrx/4tdz5+j+GoBuGQclaIj5/mZ18vE641J+8iniNnGXR+b3yLRaphe5iYyHk1lss
Ur9WPlv/B5SUL3A24xxxl5/6vQ7/aga+ZXZiyX218rHikZji4Nimh+ZS979c+ZDTdUPpJt5Rhxt+
pqUtjxS2kRsFl+GxKIf5MIad7QZuvmCbIctmJ5QnzWeSEKA+YEbQrsjeQLrBejZc2VYX3mezGdpn
knf1t7hL0ohQQkuGQVj2FjoyNUfbnvniJiSs8X4S3Xjds/KSj8keJDzGqZc/DsMkzgfZe/exqlII
xsz2i1VH63JCiqSKoLPGA6rz5DAIHBxpbEmAt1B5MZEUlvPoGQ7xu7p7wPwzn1JfDR9Je7BvCJPv
5zWquvAH2qriEqrJRZb3MVadMkk/E6kjH+wwGj6qSBaBiczlhwYoEvNIJCCPNMq9wiLuF2s1AcNI
yW67mBma4c9hgf/hFpp2XZXpSMcXUstp0EzUxnbtOqsIiiO5f1hSzs04zXBsYavyVxDL44e5jsp9
Tjz1Rgxh/JndVqQCyyu8XesKy2W35uS3kxHHl3AiDqIiYnKfjHm0i5jnHmlMDjudtGiMDEXh3BYx
sYy7GYq4i5YwNpEfEh3K6yYrDebRduU/ooVS8LS9xtUDEluxqSAjDcgHl0d2q+kmbQ3md2aFhiaX
yj9rmNGBhZ8QCOp+7Z3siby2bTi4/c3gFnIP3YpWhaa3X2MN6HHgk2lVBfbs1Les8N2R4YgWVKbi
5DAI7IjiLHOihKB8rrxoTi8RFFY9oGF3+JT3KORRzHTemYEGIF7F84ROHUGwf7R0JwSIWYzpJm9R
55VA2AMMW3JaWU4tARMqBvVgR3CBpMVioY9RfDKH+9HyW/q93s0yWWueVf0YEejT3hyBJ68Se+6+
lazy2h5tUX4f9io9DFYpMQpMqUV0pzM81KAGrnAsMDesS0GIqdWgIrGkhQyD9HSijgxQ0bRO03up
Z6FCy6UBTaeahmzS7VxjSNBpu/FVYRILmz9ydU1GzDHVM+cWNTBikHOmqFOVnOj8FOEJKYO/LiDG
rgy7Gz6PYnQOHj7wD5HHMWgBrkFV3zK8YTNE7gSOPIPo2X1YGgDEKzSw7JGdYGAscJw6G6lmQTqn
llpNMFUNvFkMtW5pNMvIsaIdVxdsKxeycJxNUCQ6cwMQYYktZ8SaZ8aZCRb5otKR+anKvtFtf5+P
ukBRgXRl0ht9o+C/7h0lOe9LgGqxGuwpXKMT4A60S6mfNFFNzrpteyuwQCpsk3TujkQ5EMOQIjSy
lD+e99bM6FYW2U6KvkcUWszyzGmR+phpX2COKm1yQitH7JDudTea317jipOrDJopEJ8PhsYykHvZ
o4fkdZ06mDCrJG3vtB5lKkJuN0B2DANICeO2sTNWLa/AeuFDPV0REaACrBOAZWh10um0iffoEQPa
5b1vN6g0EPuttMoiVCC6ITQ13hQV2iPaxmWQws0h8KrNvX2Dmg3AJTQXLa3GOxBTMc6IyccsZ89I
LZ0B22Rq3jh1365ZnrLNZDeCRFMbiZrwkWlFYMUvhJ/pG5I11DlA9/mjBe7ok1tQW5E+lxOWGMdH
t+/cO9cl4bceMTWwSLWsKfCSWCsTOvrkNirUQ3HGgFvPeHqTMkqv5oG1MYtqb1/Ntr3vNT89Hw3A
HJuoJYsShHgfAI8vgrEVURAlmTwVEH53LkO6s6wxH3RGZHieErCuJH7CMJUdLWEyGngMy/h6zEnV
RHJVwkeIcs62aYEqoYT1yY5NpoX9by1C56WsAxquleeJiNvLFKTZ46ALbUMnkkTEztQ3uocMDR1I
v21ar/gkK8+7ijt8hEHE5f+UemJril5DI6DKS5DMKAuAxt/hgsf/QFvoM41r+9aVi6JNxvg6Dalv
89ruL4a58w4p1teMNFUt2xABlbPoxkl/i5igOnpxaz1YdAn2liVHUh1leeEZdbtXmjAu21Zkgepk
z1M1TreoNsjqLGjCn7qBTq0OYfoc9SOOgZhm6JC2GXIDjyUzjy4Nv00RZGnJlZb1rrfKBs8NItb8
tZV25uL2iucjAqx4S3ekOCVmHn6IyxkhPGTx9sv0hE9A2JOcI4No960ZIvKcDfW16PoMo1U931mD
hWI5TEk2y3GQRitXth9kNJrnxEKO5yDiFwCEo6fcbzK+IUjeuDWRFdHtwIk7UUBOgTN18cda1i1i
WEddxW0VEvS9rPa80dVDTBzwnRXbLg1Zx1CbEaVhoJv2zBCr745okK67fmrTy6ixjK77hMTeR0iI
TcLI9E+MJPNyXykq9I+2gEaEj7Fyet5Eme6ll3MVIxoprb7Y9IYj15M1KNoDupofvW5wNmE2lQjE
E5ZgEkQIdG4awpWjeOp3o17cjUrJXUIzfcNNGh64lPm6L8v82mKTtBale+wjdIuSILjgv/Vx2SXd
9E59jHaBqed/Lo/X3/OH8aH5/rwj8PNnflXILtt5XjTAam30re5TwuKvKpm/AmzpiCdRBboL6uff
RAAf2z//B4wpm3G9ZWDj/90e8P6xbcOghnYEuWambv2bIhmm7csimdJYOAb4Qd3w/IUv8EoYkKVD
jBPdl/vJmeJPbNZL3Du1xZ4c53UVcCMX3baW01VemfMY5PEQ6IzkyUrRIbQMSYmWz5qNT2HSo+Fk
o+kENO7G76pztLXHLyc8mTT4POquSpjA9IvzL7bWeGsL5+m2jBhRTZYebRrlO9OKk5jscd+IWzzs
5bkiPho3LIU0Ph593vO0h/ZCwmxoV+jZuq9CxSsd8WUX44KgAdKcKfIZCKuwsCkqke5GPpyJZM+p
D+7MM0PqT3dT+pF9BBz6JXWl9inJC+0ukiWuItZTBnpmxGAHhF3ttfXlrMDuFaq9Hjykj1rGl8T9
gL3DvLbNKdv6Pj25SVgaA4Ky2xGI8KMmyn2koMS4jf+024g6mbem7MhvmTk6S8C1Q8gRUxdcfOwg
EEqb14nh3YVDf8H+gZAxoEejnI1zBVOZdbwcVqbHO9r0SHKbinPbqz9B+CVtxOjUkRCdL75DQS7R
ZSwJ8dmUfZFiSHljVrcolufPJBvq6xoe3BpOXr+lFh0CONUBt+CdskLM14w3s9BZPgKRWIJf7Utl
7Ygl0C+tTNMYRWfVbdT6+X019fY9vdRyx5uQsBAGSVt2fGpVdqDuYr340c71FXKimTAsDfbCJB8q
22juaoDpmA3p7yMvzOnPmvUVCpE9pi1a/aKTlxOE9E925t05bVLtKtUQ28CEDm4+au8Zwsrel463
aXLvA14kTa5sa/wQsa852iRSspWL2uLa9EPUyDpy/8CVunXdmbl1KhImyuuRdDCPmFs5b/K4vLVQ
2mxgUTY09yvrps07f9t6Yclwjs5JyJOzSpMhWYRuA7loSvq7RqKMPES1YUA5myqwiMJj+zY4FSp6
1Z/Bs+xITmk08YGZQHKGD1T/goJ4WLdTl+AhSREaE2NUVVvDYzy9Qvun4zGSojtUhI9jeEu76Qe9
plnbUetV4Y/Jd8eL3GyoPyNE65sch3WzMqAToTU1bv+70P9vFnqYV+abK/0ZKVAv2S+/fuR3K8T+
RyDdIrIPZIONGO6Zgk43/9GFbdLXsMH32YJF+Hc7hPX298ru/AOoySOpy7QQSDjo7P5F+8Owl8bu
88YvWm/EUby/HCwupvN6ZZcIhfI0Ug7EVpTQAU5jA+OdgTAcY06r1TyrrjmH/UgvzqrCU4UHEhCc
0LUGl2VH+XGbV5KEt2OLIL7BxT8rdMN7AJCGE/TWIFrKLx7DUxYT8utuGR8W9njqSDGLMaGYLttA
G+0XjNmuzQvnfLBl+y2LxusOPVoYGKaGuiZ2XICnvj9tWxmhMp+nW82bWfowFSSsLr7BYHRF4ZvO
O9NoWv28JC1AYN/W8c/gVUzaPdz1Xl6lWpjdNpJojzafrTho2F0tdrshrc8cnvElX8j/pFmOXXGI
yZk3yge3uatdV2dgOTGoWUAUlwDfnM/Sdce15lfjlwSK2NUsUKdU/STIXIihE6aDiaO0smLMoF2l
1btsLvIDjef4Cy5i+clsLbOCYZj43yrf+5ar6eThfsQTlhXTgT/Ci6F3rMtEJPre9/HNM9XyA7WI
6FeD5aO2TUtGdTqmSUT20cCYp3Z9us19Re0LXmFa4Toc9rjyiqve6Nt7FRfhwWymcTcz4bxGRjwd
2QFJDN0JHQrYOVqyj/M0eeR+ENd0qQdiv0AcX8ZF6e2UcJp9WynjnK5YeRfPLr0Wr6+u2Eu5Aba6
mMaH15kXtkCmrxEHYa8caVqXlY2MwK/pixRMIg4EG2IZ7cQ0rEm06zeGWfYbbSl7Ry1UW4sX8j63
Uyx4UyjnL1iK6y3WZW1HqNV8sGNz/qYXpnuIW6O+nfUpPPWarM4rLerROM/adKn62UFSznTU7kyc
Hb//u8toGMUXmjDruiclhgxiuZKDb5fNMUWwN5bHImzHvFq7aJmI7zQb7cbTDG/UUWzm7Thv9Dg0
9G//XVH/VysqWFbq1v9cO2/RCiYvh2nGz5/5taR6+j/8Cl1ATaOdLJ70j79qZ89daFo0DXyWbRKy
l+bz7+LZYICGQdW3+GVL4/d/OswomQWLK/gtOk0kwfri3yyxr4R7MLuW/jLpKILCEnX8wtp6pgON
GMSit8e0ZpoEhQd55iM9ss3YP7d7y2dxFE15ToYOLDI/Ht4LqOALPl/ekZWgPPYMzs9CSmdS+PLo
UtIjHTDX78beHDbuVDgbgy31enKTYv/ssvxqrT/X2f71UCQ8UNjbCz781aEai2gVA/fhjiIuwUdM
VxgPeL1BMSrX//5QnEqfQYDBRX9NuWW3n8FSsrtdrlSCeG2W66brsqBTbn94+1CvxgNPJxAwn24z
8jUtsWjXn18+lNp9Biqk2/lJiGR7MlG09M4PNTjriCTIgG6TxkgyzALEt1Xw9sG5B/+4ekCLmXJw
FyNPezWV7VRMyGNN/1Qj3gZTtSKJx8C0+PZR/rxwghQQc4laZgzCXvPlV2zJL20HGfa7xredhntz
IfkKcDHDJq0LLM1vH+6VHpszKhYPAPWLYXKbLKOd52dUyMHEI9v1u2jCBUs377trmT88iMhUq8UZ
gZ31OxLfP0/jkv/hA7WjroJo92r3Smp7Srha1e+onAV7Uh92gu5Xm7e/16tK6ul7mehDGZXpPtXb
cpqfPeh2HxplJrN+ZxEvurI07TxCOUvH2gywt4l3vtPfzuLzo726aLgwIkk0Yb/zhtGATw+VasDF
V6dPJnsfP1+WfX37Cy6V7qvbkWYCRg4qRbTSlMIvv+EUZ443jjx2RuzYl3Zlg/wgEvPgVLO3ZyrD
VlveuMPkBZLx8SPeRw/frbWHy1XtBsIwN72C5tqMbv1NKeLwJoe+sxl28pbOP9xhECtGJud3Fibj
L9ff0m0XKioOPjBpr+44r40c8nd5jJKxB1JmY02jja/EsNE0iw12a8igJuiYDmRW06FW9hcceIqC
yatPLq4SXGqRf4muK3rnWRB//Wisz8sTLvjPq4+W+jmqW5F3KLnjjRnGYk3luCDHnI4Mk6j9oBKL
Ydno+Pma7IHyqEpst8hXAcoXio3yQFGKhSVdyQl4m4WWch2W+P0Iv5rOot5sgIfO2mHO8ATKoUNp
4C7RnV3j3/cIKe+7wQsDH01m0ODI2kIzXyrLxtv0lTp2WUO0o5bTEA8F07pcnMV29gFBU3vKbKz0
E1kr24YmDX7/7hK4w7yXCRqNyc6tlQrz8FyPJ/2j1kh0DWWmsVuefmSTddN54BSI5cz2HXT9S35z
uX37bv3zAfGEoDDgqecd/EfilGoj0YtxuehtfKLVHGO90A9Gou76Oaw3sK6Mf/1IckRUeg5GGpzA
r1GzfqMGz5+zbteE4cFo7U1uRN/80j5vLDTHqOk+vf0N/1y3F2g3tCyUywzJX7t1CGIfCKvpux1p
mIDSB3s8RBitScBppvXbh/rzNvWYADjsTdl8ojl+dZtGPW0iOLq8Bb1BnFWaNFAEYNb//zgKm0DK
FObwnMOX60uBa7voRk6g5jR6s5Kur+3R/HpXbx/G+HMd49t49DOpFvFsv05TydAPG0iDkb0ro1oj
Jwe/owr8Ti0YOxsBFCUFNz7SLLwB3kfkmbsKy+h7y5L1x3KKgQ7xDLB+sUBcXr2WpGQelgxuu7MR
AmxGtPFbBNLd1h67xAvgJdoHo1Q+Zv7qe16N7g2wMUzQAhxdMc/WESH+e1T/1zowXmJ8Jiw7tHmx
moJue3kJIptQwjC22l0Z9eUBTvvG19n7z2UnT2HLhil2+/pzjkKY0Ti7rB5o1oLGNte+B8rILfPv
uaGGU+YpXPrjlx7bA+icrr6dSlgndZeIPWz68VhO+UnTu/eKi79/AZ/cH4uSnud/ufbP3sKhQcbp
5I2c1Hi6iRq33vajHX2IWcWCWrrpOmwhoRSu0/HGaoojevMHL3Hv2sbxDz0wukDBot4gS/avK9JW
7zx7/j6LsDxaXuxvkfFO6ENSbZlW5Vv0+vU7r4RXFG/WrOUSPPsGr56Cscv5wNVEx1tLo2M4++Wx
E4o5oMYeP2lY5Hu29WmqHwCEDkFbg8Z4+wF50rw8awr9+giIC1EYmoSovXrcPSI/sVj37S7V4oXQ
kXviK2XVlWu35YrUkscqH9RH1zTib1jaun4gqbky6RpbKEmGqN2aektYvGPDGkEYADvP7CFfckAa
CGkaIIAzvk+lYbBUureuxfyRFNu1o/kfay9t9sYg9HMGjfl+hozpDvqtM3GgyDaQleNXEe+c8z9L
N89hN8jIBDmRzm7p5U2zVD1ZmLIgyDT/WIY7d0jztTYDBapmYb1TJ/5l2Xaogdl5El5GrfhqRwE2
ijYTi84O2csP6Fohb22a8DZWjHeOtPymV5eRIy1uTtteiO+vHmZAFz1YCMGd1ER3mWFFH5FMgOYv
JnYTYspQReuO5h3JcX4vteAvb18HSDVGXIsXE4X3yzMKggq8cqq3u96dPtNjvFKuRDUR/sjd7itb
XuedF9RT7fnHdxUwsw2CmwRTr5cH9AetVUnCLcs2vEQ/St0DdHo9lYyirGH+jgj/rkpytY6mmuKG
aXQwtBF8HqqVt5+ev95MgsYsoeA4f1+/lpO+G0Q88PyOXtWt9UX9ZOOiWmlJFUHtTX+8fbi/vJod
bERcZoO99x/KXcdPs6gg1Hg3TY3aMXIIg7n34nf2iH89vwadDO4kTi+KvJfnF0lUBNSsbnfskREz
DAroWpkS6BB62mFskdVEmD4Q3AKFGsOogD5k5FivtLMZHdQ7z+ufm3KcruwK2ZRjHRevn9cRcusc
t6DSrKHTN9gvUb0388U0ENkaEbkZAJUAx4OKZ1Vlvf7OY/XaMbosj6yLDiebuh03/Kt7rYsGhlOl
DuTVsOOvNUHdAq5L1F22EIuQEDuVQ3hgzy9YaZOPvXtwZC7WelojASgkWbfBqE0jKEgrCkm46WhA
i0i0j2/fGX9ZaBBPOjTVdcSXzJVfXjKaziS2lY7cOSpstr2NS8RGVAWUVyTvnJK/HAqfBekTOrQQ
j7Pz8lAwftpaNq7cddAHf9jW5F6jwCualebo/x9fa4l7tHVnaan9sarVZT0DyLLlTphJc+0jjd9W
kxuepU338PYJ/MsixpFoi1AiYgx+vW9k7BFBm+JICbPnNf3u+raIpLnh7YabVUGaJ7Ftemf5+Oup
ZH9tI4w1bIgGL08lQdEl1l4hdziehqAQCoUeiNt1o5Mg9fb385eR0us3BJWGzugA37jFivXyYF4G
nT8iC3qHkVSXW2eaOiSFsT3Oa+xci4Kpac01eUpdHkhrGLUtO8debUC4WsV14QkersSix3gI2ym/
N+sBB1QDP79f47lxkhUt9Pihwsh7kVkYgbaEdUYp7EuDnJySr2QFkI/wgfqDGA1wXbo1naEh93cJ
Lqx5g+k7Jigqi407pzfxQ+a2IsstNQrlbCy/js1P/mgkxXcnpVmCj4AdTHymYmJI102SNTGZAZUx
HXLSl8QOW2FhbzS9No4AO5W2a0GstSdRlL0HKaufwmunxQ645X9rI56tps3UCjQoyvsyG+zownNL
4a57QarTthcyvx00RurHptSqvdFARYSq1pgNbKvkvmAetnAIcYYf3AjkZcCcpMq2BJhP0aaocdee
pwPbySRw/HrMd207+tkab9Wk1tWAU/WsgK2q03coanNdAz2luEoIjXhwMURNK9JCVTCTGtjcQvTW
3B2esnS6GkMXUFhiw4WcNEkEk17hLdj00xD1RNLEais9hX7VLiO80HYdzXPQtqm/KxteUZs8XNp/
umZCtZWt8D6kMaxRlReVFbR2PDDsrmuxL7z+mj7vtsfu/jGszfxTrnn6TVc6+MaLVO21CdagJf3L
ngCaUrZbFbvlTQgnerCRokHDSHaAeMZ15mfFNuqHozVMsDHr9iHNgMiL3gzXfaqsLWbNR9vSRoRx
U8tnaNyd08LhRP7s7GwAZisqZtIw0WuctXatvrodLiu7nyB2u8PDLB2xHyxFSquaViLJ74GYbBzN
kVfCL5qNoZcJJGVgfL2eGGdekccXWK5hrrtM4tokvFezJXZCM64TQjhXOCTDQ+jbKODSrKeoQFGQ
85ZA2unO11muDrJDOgmNTPBHdpnRXVKj3Rwzpcz1rGfwE8kpX6VxOMAlQZU6opBEQOBdhZ59gw1S
bYzRiwmwaOYAWlW/Ds3JXECn+k0Y5fWX0lvmm7ELDbIDh6v07v+ydybLjSNZl36Vtt4jDfOw6A0J
jiJFiZq1gYVCEmbAHbPj6ftDZNZfmdnWVVb72qVlRGggQeD6Ped8p/l2NVmttQ5gAkGRYoelw4Gd
Q2LMq6LpYOmpeWiVhyliog8WckjqCGObO+q1JHD5WqXRHgPmQ9qrV0Kv1WbUg6XYIXot3QVkHuel
fxh6r9oOmiTU62iPeeBHxzay0tCNa3+jZ7bG+7Bg8LMAQBLnhmvaaMOdjBugXP20AKjbU6cib1VM
5HSVVn21chR7IOkpRRUlmfbSH77tFnyXSkc812E+pB3tAH0tK9AuKybNhjQtcmn3mNc+nRUmF89L
if1pCj3JOYKHKTeJLO7HN9w0+a2kkIv1SATZNTcOOn28JJy7GiPK7N/wHzUoS17uiAJn1Z58NcZj
+6aSxmsB0WLiH/NwBqLwphnWVgfsC+uKRKjYeZpZ/6SVPhd7K4fCGZaYyYeVqrF6nzTE7Ayulg9P
sVCDox1Zz+otS1pJoLfhlVp1eVVQrVkOjwlb/TuTrs3HqKzy9DBmbrNxSNJTJmb6W2Di47yaJMu4
JG31D1ePmCeDoBMbb9aLG8FD9mdHJ5cLDjWG8DFCh8YR1boP9pBH3wHL/R7aoYtgLKJBD2flT0/o
TOV3IxossapsjXeizU3IEc25BJUp3shaj3COW7XrmFgefWVnb0PL11Fkg4iOm/I415ynU2ruD3BB
2he2cIu1CZ/5AqPgSkgQp1/hlcqfUmC+zidNvnrSTPdZE3XwMQkbb1PylC9OTfQaB9KI6yByyi7s
55YPR2FqDuFSOw9j10XGZ+A6EDHOQ48VMkJxFzTbnHNTuS8FrJFVl8YDrvBxCbU7mKTwAo9RSp+C
TSdJiTSIjT0plmtQG49xkCUPepkUYJ0JzG5bXk7tmSg0v6K3MHtuYkoV9pmbD88o+P14jqMovqS+
pG5TF/O57nz/ZCc2X9Wiz87WU/dh6EBVrphE5NHFnHwhYSreWd2ZGxZnDj5QPqqbCkP3doZmux1r
mMA7pPD4Qj/L4K2FkzgXPkSSDxXvLkt4eczLwL7QsSg+miFu7u25MR7blNc7pTB6Rzmf2vkJL6pG
+gJcnSnvhdOID2c5Ya4rdwbzlVO8vuOVTfcO1GNueyBvjMaW8DGz4DQPrfjolGheh4TXdfY8+ZOy
TFxyc5/wshLjjY5E6RR+t679DLBEX+xZauNqqIP4MmFMgM7oEnf7hApg4+4S5mjZBdECI1Ing8cy
cZogi9da4kuJMynJKu5QPQxXiZv+URjKwd5QR0/CTeJb1+nrdxfIdNj1CXg2E9qIQV8IQ6TTW+Ym
7nx5VI0ehTEIhpum5JenC3Z68rWM+yIlGZDm+NdC1+JLjwuM3IfvMIFXOC8vtiWLQ0M9YrTqApY4
ISZZAjdlx1+IhsCHhDaSxctmUfermc85a6yqfVGKpbXvDe0njXTOOopUcTDAJXKV94mg7gFUwENK
x+uzXXe9B3uWH7Jw9Pzqd434YdGB96AFsywADo3JRblE8FYtfoPXQs7Tne+2/bMupvyaLm+3CVH8
5GRGdJX2wDfKNbVlY7fwA7Q6udgtrxq8TXVHVYj61uc63WkTGXzci350BRpgH6SeVCfXGvmK9Zxf
GdmnJ6pm208M/Fjt5oaV+IYePhI7gjXfOuqTqF6xb2mbVeVqYDhdrYYgYdNHoEFzcqOrnXDkWuHY
J+JYDgO5gqTnSpphIXPrJeMzhNyzkkuRZ7UBmHuu7zQrY4k7qGLh9bZ+Mhxcq/arddB23zUmT3BS
Os21shzlN7BH49mOCTUPJPq+6JKCaMNHT95zt5i/azMTzdo1K5VD13T6L0LVdO6QwOHaF4KXhW6M
pt1BmifRsTR2P860vF2DTudu5rnD1yR8ed9FFYt/aQps6orupAycpNH58SVyZbrrgt4HjeIDK4Eg
SCjb5/NdaXH3IvFA6veNRl/TwIGydAiC1rx4vuWdORNHW9FHDTcxgrXsTTurRxC2/Pe59bvbqBTx
biiKYW+7JW8Nj82TRfSiXzlenN7ReSq2EJzap0YMcBLm5Luj12krWlCdYTQI68Mhe7W1BdQHQfAo
NC1qHpzBcncGr9cKRdMOczrMxAosjLoaZTPdMYSMq8rOomeziO11odUPXWCfB49b4qTrKWcZSPEj
UJpbyf5H75PhmJWi4dvm7kUfoTpALOG+QRxlN+mpdp5cTVwoK40e3MisD8GUAoXvUuIPRoXYKLEi
H5y0Ow5KFSFlecNZj8fmVMVedaQdBiCgaTECLmWOrFB/BA7AkJzWzmteD9bnQKexBL3NLQ2+2WxR
kVUROiViYN9MU2a/MG/rUKSm+iMYF52p7rYJm+WDpEABtSxhIB2yWr340xhfdSxRW28Se7eGVx6M
Gvn+VNZ7f5x/sP8r3/ISwyrPHF4kE2ItN3pOOGtPKVDlWZ63B7JctBRFGvC10hbbFnrFTWL0IErV
ON7Zfq7vrCxrH3pJh5I1BvG1b/kmvRN5dz2QgxWLaUXfRGT/AFziPoOuKfZp6j1PmU7x1RAnzIGM
cqtyMYfW6ZicU5/FDUm1Q4QV+SPRo3E7+Jq+60xjDv20t8Jx4MPYiqRbjZSgbGKl3BuGC/sls51d
5Uz1lo8TN+A643Qau7hQgyIIvqlhMl8mYRu3QRnMuBZK+1EkU7aemGG3DveuG/xOxfOS4LxXA++S
M7ST3HrMhasGROkmJs70NSM1EaqIu/RWZlwGaVXEKebpSnBbEwrmbpm160lAQUVAoP8Bb3DvUShi
Qpz8kakpP2Kt2nfkJqhrsDUMytl0P+tUY4LV2fJR3II/yBjUHGBwgKtvS9uJngBLMGbYwzbnFpjh
te7SKxa5OcSN6N+0aqm6omE8cQrCwlbjXAiJ1PU6GQMD0aIAtK7q4ew6Go+d0tdyPnBudRTxlIHT
sRaubUZMmAAFyaBVoWV8jNDQhnMQddkrBYzuzjFYwLNaq3lizYKVRp9qVEiTlDwpltmc6jzKFlZ9
k+XHYEz1q+PhGs8gJEdDtx78Nj8XvMs3bQWZqbXrAnEU6G41tt2JvS9pP/IwxqQFrwGaKeecH01d
LeAhZ15LwpYLFS3xV8PQGa+gXppDbXofxux+RdBV35lYi/eiBeaVta32REhV21pDH286ry/vlcvE
UqiGwg3MxTOcXTBVjEPTHrrMkB41qx7tcPD0lkaWnFpAbhpufdGIB8L5UV59YX1T6yuTUosaGYC0
Fteok72XZVbdm9Iv792UPfIqVdxAs2TsPovWpDalzZJPGemzWJsaX1DiAiATk9UPysah/tow8fC+
pRxywGQUPCU01zoUwueJQob/jaclu7O5ILjJ0p8/qqPUfGQ+5mSal4l9jPOp/aRVqPts+5YlQqv6
8ju3l/bddu6id50eio/8F5+jtiHatHKK3s284RBuR6kWrMUctZ+aA5gd2vkQYBvPneqBtCc3hjaZ
xnrrxR3FxXZAnCvsKb3LVonZM+DUFUyrxO2hGgUx9beO4fBvAjEBe/eyIHdCu9K5jCqLxoBwIHZY
w2nBLhVWuLQ8DjET3zRL7aq9STGMcm7Uq8EAWS/GNN4yvPKVZ80H1WOPrB/DxA6URhnUMgIAHGd4
4TAVnLJEp+LWbUqG1iKiShEyG4+6dTH1wOObgTJsmuAAbQFXKr/Nvue79tKC1DgSkn7//cV0wPWC
jUaeTNdzq+NM8wwyc8RS3XpnBeTfLAkbbs0uiJcedlj14OAfq3ZFSmfu4iwA41zlU74XBlugiymd
ydh2zkwRfdPVD86Io4K3EL11PUaS3y/3HPYhDbT47KbFxUBVnsL4Aeq3G74Hl90oOQcIemdXM5LH
XA3mriK89FJCPrzPvYActaAL4RF4S6v2E2v46GL3/NJ7c9D5GZnK+anTKuLNc9VUaeh/lDZBZkv5
7LL7p5SYvQyv4qB1/P25MtvPlNNLuuKHDU6qHdovIpMZJT19A2SpD3Djgz7CHbsudD4/9J04pEwq
9n/HEWqlTvqyY6JzEltkB51UVU3dRFFk3FxSgmB8pjhw8xDm+UV9oU5bTuX32KrMGb7mJRksHfIn
I2ThVSbt23gDnwwa3DayqPUjmnSzH+k+vy9jfzrhZUqf5zkZn0ZsrL+v1f+LN/g38S3Mnovx5v/v
Qb2tmy75X+EP3khWyF+/fK2Hz//zv//4h//w9ru/ITy5OFGRSDze1D97+20CXoBVEf783xta/2FE
tQOMqPgq+GO0IhQcdud/eP1t57df9lTW6r+HuP4jrz/b+L9se21yB/AXkIoQZgH5/z8yJ5AH0bqT
RwwSxS6eccbEqovC2tSRBNuz1tm04JXgSDhxORmwJ7DSb3Q4ueQCUmPfDkI7gSjpN0ryyI6VrLE/
zu25Jr/PyrU/+nL0Qorn3Ju6r2iCrVqxrqtYu8HQYKwQqjkm+2J6yuDGVStQk9rOELJelW0m6Q4C
x8LXMwhBybRaBUNESakMsCfxb1aJQ1Fpyn0B+MIRxZNFnIzuqfi4TGjNHjZfRhBh7GUrrBUKBQNd
4R4NEOZRnwdhEsvP3iHb0GPyXoOszdbYctQ5amIC5B2YlEH/mWisrGXRapsoy4yt0ud5x4KCZ2Fs
7gjbVC8BvdmbVuQpRRMYfKbm0uSKnXKcdz8as7O2hVf6nOVFs7dKl+9fUpTLK2WHXeUH9Ib06dXD
JE+y3Zj3bFcCjosqYigWwz7uskujAm4HbT7T5kgJR28GyIe6sHAkOFYYp4vUhNzH+btoj3nqnRMj
oEDPKq/0e1IcF3m7oOz3gtXVKoIhRgcrcXfbglNpRvpOQ6pBhFTPDkeg9dAtvwRNuhy32ZgXqgdE
5mjskvz+A0pvaE1TeRRs629Eg9HDMln/zN5WSwuxdWZZhX1OOVbK6LiS1AAGUXDsVK2v/ZzKvXSO
tGdlpXTi6b2zaZf2Iaufpi0jYbDSBiIOZp1kj14m5kNr+ENImkJu28kg1txqKmwn3Q6BWiBW+/Fu
6tkKS7xJG1pl3wUj7Q2Hl4MiaLdm/STDvm2wHMOFSCysSYEEiVAU2ibP5CMNVM/+NJ8ov/UwSrr2
VqtSndXvTOMkJRUzM03G2naX1VGzHqlGp2Uvo1LKDL5IE2QhuWYn5Jp4LFoQ+SOXBNu9+6DO6m0f
52ptwgpa5/i7B5+uePrn6EDqnIM0M+Nd8fhb46S7oQXpY1Y2sLXEF5uM2P9+IU6uqVr1V4zXAc+t
TIZeLOx9MpOKwMMyUWnI/+Nc+6q1tLjl3hSFbtVi/KiV3FHvbm9qi0neJe+4jazsqTHd+FzpSbm1
/A+Sk/oRehmNJ8LVHgsaE5Zq4cQOKXlLrzyA/XVFywL9rYnaiTRoHvVq8kPDC/Lr7Pk2W+353LKv
3vpUvC4WRaBweQ93nmFmQ8iGY6Cp6Xep2xCMmPNyY3DWX/dObobgajNWbJl7MNhqrNPYH3DBx4fO
GcwbHpzIxWCYnxY5ZdsTAA1NO4PhHwdj6Iyl5Gxbp+vWyfQnFdn6qtOYIspBsmNMhAe7fqacas6r
h1yz1F0kev1odCAcwaK6CeWWpDA3rvDHcOpKokgFeCNLtewd3YZqDI0i2sDVThWugF2du7eanX+k
bDbWWeUXh0F6HOj8gab4mddTzK2z98jFrNACvxmj/ZAh0TmKge7OzO0edD899NXgHn0iMdRPOFeM
zJI9ugUNL4AwPo+FG9o2eSBTBj97yLkpg2lk9HdFXyG4ZClk71T7Ku1ZbYtmvmk675SO/H1gnrsR
aY5BoqqYS7VmzbKDoHo0UG+ElwtCRvpD1vG4ohTnoYU0svcGJvgi97TV6PfdGtFWbcy0RkasJJcU
PSVnolfbvjR/BJIeMj/NLLKLrfMQmbhwSy9AMNJIpxq0pdnya4BPS/kNORvGeGunF4ZxBBaSb7OC
XEGuREshZL7s+kp/n1j6pS7Md9dtT1lsZ4fWmZ7xZHHmTl0iEMpyD2gt1WMQDC8FOK9QCO/LTcZx
PURpt+ZM82ga/Y1nd81S/XukPbpcca4rzgXbb5R3KmLJX0ZW4oOfkN9N0+thGtgRuLK+3tk2hlSc
ptlG4qY6wQJt8Ng1/sqxIrgdHDJbK3kPlB88Klvta9TBm9nN+u1gKrklEEc3hc93rOb5UQ52esdW
5JQZPIQmwklgp6i3zI0Y+1fvOCu9dB4Ep5LQ7WR6o2R7YH8K5XBgIx53PYVcCY8XCGruW5FPr2PU
U2CkvM+aRMYqiQt6V81u3E3VpNEMFdEFUw7BpaMHV48BwEjCFvzg41kQa153xJaYxq91NtfA19Lt
JAkRc0NjU5hoL31AEJiqlk8rFeSZi74/+MPccK9JWWjB2qVJbUqPCf6uXcyij3Qte/a+AZjhF6a1
S1G6trE3WluzELR/2sLYxV72Mg6pc+BQ8qjAVtI5S7OfFn9bmvCORVVEW9LVCD/CNbZOjchk2KV+
9AUHltrmST5zV902kMDD0VeAMT7o0Ky6JzulyivnmkWlpB2RPY29rHwkTuznjgIwj48ipw8KZCVX
X+lfIqcJRrGAbfPlQ1ZnpdNae2kikhgs7l0zerJ6YDCkvTDDIIpsnLbm7o2QOXO4Yu42I+fK8O+5
zVs9TBV+6sYaWoLqGSK058CMKVINXQAI7tw0/8Ul/j4K/5vx2jB1/V+O17uvuon/Wjvxx7/5Z8Rr
YQ8EePjNXxQxZuR/RLyc31ziFjxsmGyXOBB/9I+IF9aKPyZpC2gYIzlRLsZvhl/zP0p06X8dpLHu
LYQGvhiIMhtziLt4OP5kMqX/F5Zv7Rd7y4/fxpwca9dyzMeD90qx3EMzaPtqkVX90nhlY2hse4/g
Ksprt0iwLM3NgzUy/rSLQFsZFKoGi2jbKJ06+0XIZdxovrm/u2GdIPPWi+ALM0S849jUr9ovOXgR
hq0C2Vr4lNDDkZngfXhXaAv+Hc1WRPi78qYa6ZtEklsUGSk3rWaaAE4Qo9GM13IoL6o1HWy5CNYZ
ynWzSNjU/Tph7Y0e7V9j/2imATjFRfSmARjDADr4uAjibRe/uHZJHc0ilnuLbN4tAnq2SOn6Iqob
bouWuQjtbMo3Nsp7jwLfL1K8WkT5EnW+BqVM4GAYw2aR7tNFxKdKfgbTgLAvCskGbhH7m0X2HxcD
wEjb3QZ+wWe3mAPsxSaQLoYBdoY/TBa0iwp+ZBEDdDfFB5AtRoO5q+IN7yoFypgQStwIHa4ERMxL
tNgUyI5Oe2EheU9ebVyDxc7QLcYGbO/bMhjvASiU1xxT+Skt/IYyZwyjObpJcYbcFjMW+QNTeyXz
1x5B5h4frH2wWq1bW1bFllnEQ/MgLS16MG3DubFzxcpIK52Gkd+VHOpFetvUxfgaBWwjGHiD56m0
8mpV1z26KLfUUwJ1bdOOORICdtx7b2S+rwprecqb0Hg7yxdvXpqxAMq8oXiu8sq5cQqMNLpZwGiu
fi3UjAL/SawLitukSVlXahm8eIHZG8g5yHOtKbgj0vYMrqPWqyPYf5bA0q88cEUw2gFx1xQ96Ajn
Nwo/0ZZxOnv3TNZ34RTF1QZLVvT8i/ruW1G5mcq0fjDy2ri13AkS5rJgYZvM9C6IGa8ozWQjlOYc
+cpMmzYdOv4d1U7pbQ+LmgNizKxMcpv3byw5UHUj5lWHdFXYSJ+mC90qnhUq8kfTe9ZBgzBPnxSz
6p68EX8nGaY7XkCNWLJKKVPCAfyIFEuGpuNLYklWfahXkDvNmEvTofwv3zvtwC8vVayuXqHzM5a1
jkjh9ixwa4fOSEvxPgi/4AsC1UjkpmjSaqM4zCxjpnij3SrdpRz3l4QRglI0pRTmeklXPAujSm85
CrJvgiq8M3pLfDkTck3U1+Ly6yfLCL/526E3+PKFaXr38Uz1LFskx11bDJ339rQoz1pXfhfLHpQj
af/YZja93S6YX2Ln/OK/dCAskt2TR+XwN2jgzDw4AzeRkBSc4mTTLpRRO3v/daVlTsd3m0mT9CtD
IQek0xhsfDuoL6Oge4YZJcNCgH75zDbUfBmrxSbUlbZ33zixfajBvV0NpuGwaVj6m3Hv2XvmYu56
vV0dtXKxHJvRKLY8xLvPzkvS20qvXdr1XHUjI8O8RnrmX0eWCpuEKzJfUWgevQcmMvTolAnqbTTx
hQaf7+gpOP1FnGgP9UyoiLGtfpAxYkcNlgMgGe8Wrcv1QxorUOptvrCVDEJO6zrjlVOe7ZwM2TIp
Aq5NBrwrfHmQszHbgomrHvjoCovVm4+ivjblcv7I5tu2Sm4H6Da91j4OklX44NTvFeTxuHTpJPfP
Ztcjm8V3yUIBK7pkX2bNtzMGN4HFwr9j4VyZ3nVqLZbzya5z5+e4ad3Q0Sf/5OKfwZvhbPJWoyZd
1WvfrOprx3OsX5kWsUUjNdwry8Wn1siMW3o1TM6Dfhy6HjOa4REuSkt1C68uHKcsbKP6aFVedAdT
froYkwmMuo4xQ1FwmOzcOs9WfjDYG9qJ0Cyxbe6HAUBL5+cyCTXg4BX4RcjrX/R71zcSvMJNNvft
pjJpGrVM52djdPvKd+55THLmHXqLtW8cvWmx+dpq/k/Vk+ScK1oYioFVUqkqcnalpUJ0KVQaaOfD
Wrhu/dBbNiX3STZ/loPDNhR722Lr3YpueqiyXhwDL0dn6xI6vWfe4JTxcpJ9BJ9O5USmjSdXMWKy
Ez7kkyoPkN6t/chNONT9XmymKo84wPSoPfOCBKzfpE4V6VTV+oneIu/YcOFjDnL1EO7km26Ucq1x
6uwN9W0pcRWp732lJhIz1Hb93UMTD408f+zIC/1QSmMlk3EASy0Jfb+nSQ+Ud3ekcMKWq2GeuR9Y
Q7GPs9liN+xTljcj3gbRgyzbz4S920avfHWLV3EkIw26oVtTZgv9sZqbfjMPZnWqDfcW4EB+z2XV
bKA/GsDI2DaNZl/BUei1bA+gV4TgMygsNkzx1TpmvplLk35huuUsIX70EJlC6bPLyYzhVY9myEw1
T/uAVT05q/4nyec3mXCkUzJ6Gg1BdNWieJYTR76mI047N7bzFCkIwi4fQ4SLKn6lMYIe1dYKOw6W
J06Y1J4Guf9pe85w9ZAwnnJQNcwQoKsw7LnqOHYRB/PBpDYao3j2BCUNTaq1y68WqNAXcnRxDBqa
Sau4ZSM5aCh+rj1u85Z/G9ORreZOv/WirL4HNIyLP5FMVtayDRONfysGMb5XuireR3oCbt2OKDYr
BLWim3UOOdmQjy27FHNGUjkSymHpBzQdZvFpwIlkHKHIGawY29m9NQOwdn4sS52PRPzcuZN2cQ06
gnO2X5I3kfUWS0MwfXnGGsFpbK6YCjhcLR3OXPbMqcqZ+vq2htR/tLHRbiLpLPUfMnoOiEJdkW/T
bDO3cBPxoVTabRf7zoFJId8Zei0BT1LcAvGotjdJM31XpWlejDLunsYmHfeUC8kXV1IoW3AvDFFd
kI68sYUNLVKqCuZDXjKFYdLQjnrNDUwYptzXxEDWgu5zrFQqwlZm+PxYBS5ju/jwwDau2iYaL2zz
9HMTVc22sOpmJ03SE/2YR2tmhjMk2i35sF1sxshM/vyWNU0twqwa8IeOlGLPRm6sUnBz29LWu3Xd
5PZurufzlLJbanCMrehUXhow2uFuXtrY86FueXIN/gXcTPEgs3bEDphrb1YX3Bp0q36Nv+gcwPi2
gXDh5haRWGkW6zfwdylY8ZmPOJnVxSJ05QlaXypvwpET9GrV6hRtWmLaTeNEFaI1PyjX8m6n1DRW
+LeyHQGknYuCQw1xs6mHOv6ilnRndTzyBgm6dEizHqznNB05X7I1y9roMMrolMbyakeOE9KDlh3U
7E43UUY4DOeQluTGBtfENci5uxo3Xs9GeYnRJ4UB/QV0a3xvuezz+Ai3Y4xjbrRhEQaaFvNIiKWO
mBTosUKHGws1HSbm3/nkMKrQjhWXubOBKbhsJ4SJit7n9HmzJ+979sluSrigjYdE/UxyH6PPyrWi
2tzzNHxBqrrX9GDYllWwKKr9+BBRXbUx1NzexhntobSJ22d0u1c5W/SzCveaBjW1t3MHiQxTIKWx
TnaRnnA+6EVX68ys5g+jNbrzWHraNjWGryZWeN0cczj77D5CoHb20Z44/aCMtXfoqOZp9Fx5jRlV
2CPiaFCa9w5JIlrJss9+jFDhMRs1tsXzPjqWNAVTb6pDLpdttR6GFDop8h2PSlEQl7bTnc4CJ9Do
LHVy+2a2GLRR3T49EwSaLcvm1jXydVHbPxMKabG8pMFRxbNbbTJjGfpjFMoPHS3+08sdEKBj1TLH
0xZsuSw7mix40Mms6yvJLKNhRe3ywzxHPrDJ2VYnG3PrPf0R80tBmdK5TcqfHEBj+oFM2aMRdosE
WkV1mFbJT9jvPPU1WX56AyWEdBh1HYUyEEQbQ2/eGF/cjYmx50pD3bxmBrpaaeZcrAzE/soATHbU
7YDFsJr5pPXV+Oz2Y38jhVWd5gJFZU2bcXHJK+lRH+VbyQd+a9iuUZZOW3o9eBToQYOhi6Mhrbpj
Efiffqxz4xhix7hi5fFfusYTb7NVVh9zgscR94tla9zyvaV3Rx+rx2pxyzqLbzZaHLQtN0b6g+ZD
urhrxeKzrRfHbRrjvTUWF677y5DrVKximywbqRXnm19kzFDCtgXzbrX4eNHEF08vgLtfFl+m58Xx
O/3u/7UWLzAi7PCdLP5gb3EKN/jy9hPm4XxxEbeLnxjTyilv+pJzFl5jt9SHuzjBf2wtTmSapZhu
F3eys/iUm8WxnC3eZX6wJw5+UegFSb3VMhzOxS+z8y+l8L+i6r/b+lhoof9KVN2DxEzTP8upxu//
5I+lj+HYv/lLz4+H/wAXhUs45Y+lj+Hqv+G9saF5YKxf0Jf/s/Qxzd8Ai3gUWC4YGpdY3P8sgQz/
t0BfwPGUcXgGf/Ifyal/a+RDLCWwQhOfa7oknljC/m0JhKRbzJkTmw9tC0lqJWg7VKvBYDm1ngsM
GsLGspukRfNTeLn5mCS5dmW4ULvK1pSgtt531qhJC1Q8KqCIobJ2gSYYHgbx1uo6X4fLkVCLNtQp
hU2TyCGHO5hhEvzDPbUgm18eXtQX+LSLZfuXK7gGN0m7BPysIIZOm4CE/qpmbW5oOhrti8bD+DLR
j1Yw7nTjjyAW6odnJSplpuJlWyfxwLG3yZt5ywlYHh2liY8eaPuPLh4V0F4cJPiB1JtiRboOAGl7
HIrn7mtoYoPzS2EfYnAz93HiYq7UUva0eIKelq1PHv7pern7Pd35Z+KQtcST/hn6/PUWLPE23lVd
J/n59+rJcrZtcG543eeGliTHQmUU5tRgkK/R2laWKTuPKqAyuKs9YZ6q0eRXE65fA2jLdU6PSaY2
nudgaJz74TxHTnJrEtj5NNJce6mk014TxWLCSbPszIGamKy/nOQ5Uvu7OGkIl7dWffH95qkrLJLt
YjwR9TEfzcTceUnwyf5afvzrXzr4ayqNX9rWveUCBqGjQwn8e7RWoG3HkU6pm12X0ZuxvPtxXRuv
hmlPd5qnN4ceyvmhzMYOAZHpETJzN29bnibnqZ/0D5Eby/LFGadLDCnyCJUf2UfxXxKcxpcpauMm
1szxkvSucbJiSSOYHz2zjDGhILEqyatxWLt5oe/TaiRnqTXaLseRGip8FJtZL7mmrU4fbvTZ+qzc
/jQ2prHv+sjZA91fTDpofemk8s3kjOZGZ8uA7+mtoDfpaNv1+DNNatqoO2v8KbhfHzxVNPumA3Qc
JQykYui3HcrYlQ9lfusNGh+mFjxDbn3CxaMtwY0atw3zjEewzyN5nXLq6MM0JdSBGslKbG7YU6Rs
Z7wKC+pU8S6tKNbOziVFCieFFPKiSPt9+bRmYokmB4YE7YC/xR5mbKukbffY1FIAdp1+/lWZ5lfG
cHaYVJD3rJ5aKZnMGUXgCRHZ2Y7Nq5Z206XtDF5Qc1l6zf68H53ls6nl832J7fnFTlr5EWC9O9l2
EyDSTdPtv752/nbPAmPl4xcAeGYZYB9N2n7+urgGck2QYfC0K5LUfI/judppRssWbRr9sPH6YE1s
nWunqeefxE8IhnUttHFoAMlnRjP97SKyHGWnyxdP2iIskkLfSTCzE3moUPZu+VRKvko+NA4JJ1oE
dgXv/amO8ITqHekMmOrThtOpeZ10zgcrT/Grql5TZ0LS6ZrbldoONhMvN9Q654wuOmPjdBo8fjbq
fM2JFpomr+f7X5etwCACotZV50Y6xskQkFDrwtdffa1sXwJyqS+wD+UtS0SAvyVxmQRsa5V+VDqM
/brRKBCC859gTOgJk6kZgmzuJ/7F1yWrsn/98v+Kfv/zfrW8/Avzisi/C7YZJWL5aP9JNxil0TLo
N9j0G9R4Ts+esVKN1B4yqhbOjZGZnLJlqz1mKh0SGFwiEOepqZJp59PrwNGczyBLoUJGRz8fxI98
cAkCBoxEYF6NJnpjbcUvs+x8DzLtte1//gvYy+PVcMlUQU752/VTzXnbGOStr4ULsXjKjOlWijje
SjfCxYmoN28jOXK/MF1uMVUCzd71q//L3pksx41s2fZfalx45mgdGNQEiD6Cwb4RJzCSotD3vX/9
W6G8t56km0+yW+MapFmmkiIi0DiOn7P32vWbCIV91CcnxLDQmizMS/VmzlI/ORPC4NhAQL9pcjd8
yGWDNC8uI3akv//s39/Hv5x8S4LXBrhFGDSArl9OPlETrbIm+65ialv6U9eF37ibQxILcBw96QQ7
XqVzN1/nciy3PWphRhtlSepEnYwHPJRICuhJ7nN7QoQLEvqhdwpE1pMFsbdthvJauV1yYvsx30zk
N6HW7KbuG6xieipeYr134TTskRS52P4uxo8BjU4Ja0ISR0HkkT9fGp4kHYXPBq6wneYizSdT0FiH
MNs2eWdGmzqP5y/Ytgi7m8aQ2jtu16qUJaGRhjF/6oCNW98oLEDEXW3oa3D43sassndsAbsuJtTD
N7O63ucWHa9S8qhTE8w33x+90NOir20IhJMkVv5woH92AOZq3LF9olVepOYY0DaKv4q6U5sUCuYX
7rzx08qLywpyOTWpDA+QDNWVJS7SUKtg5asvzJLFKLIHAbc1YmvmJC+ySD/MCtlyE8XzPpuMDgQr
jUHNYpuI/rZb2TRkz0DHeZf8/kagSPypbOAxBL1BzQAvgTgJysHL///hMWStLoYuG5s7duW9JL6D
B8z/vjYTkUFLBM9yIElmSEhfiaMNpVj95uAsZAzEmrSOim4fa40E+Jzm+BZo0WGjE0kWjAjIC1xE
5aYnGpTHVZfifZlE/sjy378bbPY/h0Ra2spz7ELisXOx75SUY1dj2dvrQoqF+8Aq4ZLnZh7mm1wP
UfZ6CkmXy85ptaha7nGOPdJv1zFPY9LLA81ItnidtFs6IQvOvUEMX/HKsURmJXbsCu/DrCuQODy1
O3Q/l5Lzcl2ZiffPHeJdgOUMVWYjUWvPXJ71mtgJvDqmz+eJC5+WQ7kFhs7NmhqdFRDMJD9gXxSr
dhyzAyEgYkcCJnoRWh/NVtE2qq6MObTQWQ9Z/MR7IHnqtBTeCHN49CpVUqTPHSMGphxZ40S7mLoF
cazJaoD8uo6/asBu77RxuhQ4aO8PwoW5rnWFs2oxhka+GQ/9mvlLIfi6wL38vLoI1bup5d/Dfrho
fYHEhgHuKsta5UovH6Ko7/YhnkLLV3pqvsdmiKYt0p06OxJScyl/vOU2IrdeWyt6Me+k+LCu9k2B
0ZaVXQRaCXE4sqfssHAj0P6fGIRpFvE/gQ2R6BJeCblpEYO6xY0cMk+R6XzXUlvuyGH2Ih8xlfoG
jdbdY2DS1vlQZORF09iNfEwN09oaR/J4OyeJcd6zs4UQzl2YNFSZ/gytpPcgL/l2HSJ3MVX+DcHc
HVtn8oNtylZkhHhqaB1mxVnKIr4xCgkc2IDY43feom6/P0j/u7P9086Wlwgvj/+/XHj/9S2uftrY
/vU3/rmx1WHPgoQFCkvig8M29v9tbHXJ9pW0IjiSbGzYUrJd7OP/+o+/VMJscwyHVQsl8Q8qYR0i
OJwItrWX9Yzd8L8lbrB+3l/YsOsA4vKx2OCydBIQ/PPqmOlhM9gydM4I2rV9FJZzcywxR2G7JQkZ
1xovqiIzGaMKj2AuldS29w5e9DMGlnRvycy0A70yHxxHn59RoCVHMCrI2AhUxWlDmhRiI091XrXS
mGYQYpQbEYEA0TQ1j6JsQs0nbDo3i2PmJd2W2VSaniW8XIaBlAgbvIvlvggXFr90aIJiuaR6Fbm1
gvdmb0A8sC9OveE2I0eg9VMxhaecQcipQ2W1XZyxQTzcTl+JfX61ip6ZBQrJL/lUya2ok/q1LTIR
0LV3cCt2b2ab8mjiEWd8JkkqPKolnneirqwNF0o7l2w/8T/KcRPDbEfj2BILMbaIkQa9GDc2WQGU
a8mUXmtxbDyPJLtajH1XYAjroEticbfAnLvrB6S0oGyeczvxHmd7Bl9dkqtQG97zPLvOehRLEJpj
cct+t9lZQ2uc26Jgp8eYnSi1JDkVYzXtbXSPV56Wv3l9w/AQVMoa2Wd2JFDK2+aVNr53mQz3S2ib
G+LQciKF0YWp1NU/L4Vrw9LTVjvPSD6HwWjX2JnmF1t3p5IUg5RATALWg6bI3VfDGGB2yTTm3FTP
RVI8NxqHLpsaMEo8jSCfNHtNoV2tAedJxKeyIJF8KhmY5Uz7dN9MvOJeqhkSFQauen+5Ix+bsXM2
GOGw8aCtIODTGBpewlJC+q1GuSo1OstbwVZzgS8yT4RdocO7szI9u1mWTl2HU0ykm7KaU2wahKUn
YrY5ChpMLLTW1kpzyuVCM5P7yenykw2F4xQzFriC5ggEkHSgm6lt2k3ZdfNH71p56bOb6oMh0+pv
HpSMgTXf0reFTKcTw4dkN9tld+rJpmCBdqboa4zvNMhrDIkwbsvIX4ZaHnV2uJWf9FIQnL0I32k9
lfttaYgyaMjTQwOHB5iMB1B7WHQMrO1ZQxdUyGRlRPG4IRcaO7xWaOhpSVA7jkXBoLqvLdy7zCra
jTeRGdzwoWTj1IdOLd1jRMeXFLLMiL9VqFLWrpt7O4lU5oTE+6ujbEhycZymPsn1uBhbbTJIc2G7
bGJq38hUeM9ILTJ/bOWxDpHzFC5+rRz+4Pvo6PkGS4DzkTWhokgsRl5YY+xsL5EWPgPi6cWrLJNu
UShBbLnhZugxjAdlNi3HatKsPnBRUB1cJ5vqFRna8XqB73IjbcLYFHLAwHFA3vWzCbYC39Zdjs91
6+bT8IRNvgLEUQLeSUNehtKLkqNWm6A9Cs8tAtfjKznETWFbyz2k/mjKfdWOy1pXI2LWPlzWyeSq
x3FukNGzJ9vEpDWsYm/hkvRWeBW7ZXvjkLukh277QCfIufPMYdeWprqe6IUHBDcd7IHHGs2UMe+T
sGBsNTnVDZweDXaHjkbcrd3lPuvy+qroRhpCBjHcOFwb+nyMpYepnUizS+JwXwpPkr7SEKXCMMyc
a3HFRIXhcDXdRlbTnpa0TgMWT3HuBi43ApY4KIsEKr8gIS8yJ7FXjf4VFZlzrq2m3MMNMvZFNzh+
ondEsZW1QecwjLYt6u1VmNQPmqzxHCyG2d8zPlw+C1HXgdLksltSRkVyaQpagDr6CCrKONATO9vK
Ya5XSchCLgzVH5N4mB/LXFibpi4jSsLRuRLYrZAssRB5IB5XIV7nL2Yl4t0C3ibQ5hyWpdUvGkoA
2/nCS1DtiHTQPvW00YiCjM0AIPDwLQ21ilT5pLrrGpqiNXxDahzxFqkiWjd6nhPDMhIiN3YooWuK
9S9sK/pTW+R3HXqfQ+w5ZWC2bX3E/dzfqJL51jS76kboiXfdxW122WaFam1FTrstLGakzF7cVZdh
QRhkbH1GF83CJOcPkhrYrLFm5n6YTYRF4CQ9xRoT/qq2p+cajk5g6bW6A4zsIbypnC+w13g2CGSE
koKOnE7ifEVSo8aChUAbPIf1muUjPlfZJGc9LMutEpX+NhWRhYJIPTIYCwNjWoydPTrECAottO+T
RJ+BGih3z8byTgl9T/XAvqAl12OdiYULXBq2t5LJeDvVWfRMqhEItqFAlk0m3U1K1HHpa2SgPaH9
bg6e2chD5MY4MrgdvR3rJt7iXpw6qZl3Sg03RIdh685BjACCyAKbe4+uhFFcWCY+jwTbFjI3To6K
4r3nancZuiimwG2Fx8MMowC6kEtysTNsIrfP19BDikC44Qk/YLatQB5QiacuYgfc6FONM54HCiV0
wX4I0XTqG3MOJ8cNC+rtluV7Cqe3OBH1VhuFc1SIdj90mefvCOHJv+va285Ehw0N6VEsFnRiL2wY
6Zly3/aa2rqDHNYNAZuPZNEPB9sp3lKV9vs4BR3XZKQIjYxYd4O66MtJWO8OCRNKJIuRdddFZXWj
LuwReC32CHnzFue98QX59HTCB0yjBtHS+KwnibbL1WifijpJD0ZibyoTXxOuL+bq1tOsTZYvwAut
k9IMfRmN+YPnRvV26N3mGmezHsxdDWemCT9d5G8YIeJ4i3KDaSIz9V0H//kUW9Z0rO0sehm9Du9l
N1arWmFztxxbfYNI9UBMRxkYWSrvs5CP0OsZKkRgHL6Tmlcjq+q6jvXXsGMgVlQWnJK6OuXg6LD4
z6cl1K3HvMmQ/oHzWFtaO24BUhNWOWfhazss89aak/aV+RvDWW/wmJsb415OiOcRdb9OOusKRiR9
EzGEzS7zUNJl37TBRo+3wNqWbqoOxLj4Movy49wfZQXZGI5aMZ6tHEAikFDs20Lmj6nmlPcUVdmx
bFxe9bbOhiiZMgLyqqrXt9Cj6zN4g03hmPXWpZ14BXoEUtdsa9s4tYqNiI3oJNmJrVviM3cR81A0
KBB2bpBqzPvYyhEUuUO7WtLURlc6vZImkgZAYex6y+BaXdfoG4PMbvVDpdpyY7vT/IZTxc39rgFP
EmadY/tZTiyY76DsW9mVmj/KLK5fHdCsgjL3rYi8cMUH+VYMRbNJmcCTaVJq7X7phBsUaabtaAkS
iCabrEixcmTlVT0bKA0zy1lPY0EzAkjBV5ANBtZiNfFKc3CV2h5StyxLr6l7gz4R+WYyHLURYc0b
dAr1g2IdQMFDtRkzStiFpia+4U20/X7JR3/oEexVpO6swae1PqVHuwZNemsDNTLRTiyIGsLuImo1
MLVyqV9BlkY7dvXhWpYDfg8EdvRnu6ELUON1q2bKUVc1pNq+NLFovY0+IKhPlLiVNS8kH41dCtOo
1z/mWuYEppFiLEYjR9eYGZuwVLgw7t05HFIce6MbVx/JUGBs8Ako9YoHOcdZZh1C202yYz+7XvUw
LSNnDQ/4rGl02EoqZT9tQTuRR5vrcgxKnLorWEqZJME+Ij29D1O8jWiZP2sYPV8nj09IjWC/8Heq
Vw1k0GYxxnqPRGYmO2sEYgy5JDkMo9tcNTU/jZGs+mLy5JnZ0m44ImA7j9H8gPhhm0ib/Pmonkv6
aIK42GR29w4AB55ghOpnOTgPCpqP36Dn/GrldRf6Sqr6CFx9WqNxa+/agqC31MHiqBE8fysmstjA
pizIi+Jp2Fl5715Wg2VF1WesKosSxpi6S88pyXZOixkMBIBxFGUHhEAwCUtAUayROs4r21kKOjoa
xxNZXUGWH63nDrc5va8E2ycKMs3wG5ETZMmZu6NRw5gs7xeyd8PrKIV+74vcm++Rh0arMSVbMugH
Ja6WOjKCtO+6VWvmOJ06sgwHbOc1XXTewsi7Ue3BJ6B55nd1WRzmIk0fIjfvv/SUnuyZuvG8lCq6
J+i127iXk014XrrVvJ7dl20UANzDcWrx3s80J4da7Je0a+7DsBD9KsFDuB2QjO5pTpd3feTBK2v0
5okIJqZigF9eyip6CmmunSyDnhfiRKHtTOMytS09tA7DKI6kJtX3QJA6bEVhXcorPP/WbRk3b1K1
yBZrRbaRr8VCBSQB8dpPVGSBX8F6f53lS/6cCgSabjqFpNt6esRMQze2bIX6R6QJJLuCEAtqnI+4
3qOaEG+ahGmLLGJFf1+hU+tt1GoNriNcRI2xIgpgeldUfVT8GhlabTUvN410iREsvTy5ayOwK6JR
tIyB5RjrjoiitSEhMaIRT/axUukJDG2yL0xPnsFCsIGdHW4mob3nbqUeYwLxbN8hKJxB6cKiIexs
ec5YKkhcHicRqFSqa22p0M/Bxd72xpjflZc6yVTcV7TSe19vBIRqI0NkRuXLHMardmUa6lBUwMWy
/7wUsrrdnmyT4jopxQWOoFDiLxiFQTUAtmxeqn5yi2s9SzsThpnDZqzReQvgcKU9Ggyxg5ALYoij
vmqoEKcb3UP36MSITJNy1Jbnvpzr+UFNGpJmX+vZ8PY3g+gYX6yHQRqy9j2znacjp6R1IapFDal9
ZqdXKBD/s7DGLrYQyp5VNG9DTTYPeV7MTz+0f/5mUK3TnflhUM32QdB1tsH1U5XR3bkII37sONfN
PKW5qU9nIkHsleYRsqzj/kKfvddcROLRq1GY2zE1DmZmbzSr3dixvnZleFUPzMyqfs1X3XoqheeV
bH//4S46hR/nIt8/G/McsuEkeP9fIygKfWxKERrTua7bs6ypFcNdMv5p8vg3B8ErA60XpZKQv54A
0gpnNr3jRJ4vgRv842j5ppTVXwOq/21J/qkleVEF/HDZV2/92z84Bee34vO//uPqLSk/f2pJ/vU3
/tGSdBxIAw4PEfptxzVtD7/WP/NnaVa6aGkA6TL3+6knKf+PxRCTgeY/+QT/LbWxTKIMEU4g39Eh
GxiIGP6NlMJf7lCLQalnovG4CD4YX/+Ko18Y55hsGxUq1vXire3lihrwh7PxN0/ovx4CtwEjWZI0
+Mj29wiZH0ZCTOZytDae2qF78zOFHZv9kutwSv+7Dfw/OMrlU/xwFFLfSZ2JOYosXzvttZo/+z+h
7P/0RX5ZaWRSWWU1cghmEFLcIutp1B8UKHS4Lr/lhzXD+p6eYUlp4LuzmKhyu/z4Rbpcq9NoxDpg
a2X7UUlHTMzn0XLIiUPbYZbfmQJ0oMiH8GB2YtjgfZjXJMxjcp7HaZvUbftkxGjjeZF26Qqz861h
s79a4dphW4Vue4MVX6zMfh43OrKF+0QYzHYkUtGHhXgJX6YShIwDOtGt6tfCRYnsut0a3u+4G8BQ
odeIgeJ4urPKNAgzNOUWP2uGynewyRwxgaf7WOTyKFzlfNEKCcMltpf4SkD1OuZRvgRKaN061uzx
2EcX6EI292A7mTedoMKoR2Z6+YppFdUP3ESHacshTNCqu1pDkKtUJBEa3cnKjP5xLhfrFuuvvtUG
mePYb9M9JlnMIoNubeg8NLwMav3KFTjo2XphNTbm8c6UPb8EJ99JKqRK5CwZaMyWTr8iGIznIaWn
FlVDfBum4/Th9cVyOyqTktwJZ3Jux5TjJepzKp3wJa5hVK3oH6hHZwIvuZqU/tm2MyBPu7P6b1pj
zTFM27x/ogNMq29GRn87joJfdDnBtkVFu9ggagqMToGz2M6qqMP+lDuhCe/2stkLSRevAz5fFng2
o9UhT7UzFvDPvtMstgD98DVV86OljE8PsMOX2QDWYw1a8tKjZd7jQeCUtHGjb8vJ+lR91Xp+jIBz
lzYC70FecxHsUPVPg+D3FRAtg3SW2aHw7O4pgZEE/qiRR+DE8VVdTOHaZO+2RWod36I/TvdRaQIq
hHzKZskV28owVObbOHACj5p/7ZKym6LecyNkb5axA1vEAQzlBE2TkqFXuNkutdPxHv3JcN8TMR8o
qlduDDexb/MImBsFYXZAOggbXIOUMnogHV2P00ljF7Nd0YJyNlg7zz1YzHSfGk7BVJ+Sz8fJDQJu
aEP9jiyx6HaJEnGfloi8kdcm9jWajnQbwwff6lYbvofSNolkMrTwbExeFQYZffLBt/QSe2IYWtdo
A/B6RosT0NW1DkA+m1OjMVbVCzXuHfT0N6FmAsGuY/NGYjA4TZZNmdwgDGKuPAWzPYrdEDcOnL22
z32Aj/kcwGAJ3/sZR6lXTxVQKG3QttUSu9+sNHO/aVHYB53WTceW4KL32BP6OhoaS/cveYtrres9
QLje5XyEInNW4Ka+5jjb06Ab5xyWfy126MqXHQ4N45RHkfUgZmgoIWTAkYPZ+taVZbu12a6/uEY4
vmKZj29F0YjdSLIhjIVhpjqnE2b6BfrRDx1q2AGFeXFGg0hKO1OJq3Igz4uZuPmQez097o7yeT1D
MTxOBoZAc8zUJsJYcpMmbfm2UIvftgu4hjmN+/NMW/Kkz3K56hrPPmbIsLc6QdpBvfTOfb2Y7goN
M0lYk4bUwxYIMgEkXhavnKyz2xYrJp54OFC4XRyHxC9ceZsxnMQ3gNZ94cd5Fd83BNJ+tZXTEYbC
IkTvv9tya9irGV/ypga4sO0rnDGrrk66FW8Vaz0Iqznmk6NAlVVNDAKzwJZCm4nfacPtQPZMnq4h
S3Xg00YgFip1WHDqHKEALkFuh6SApU7JlsMuUm/vUjFsqjR1VgjbkVcystug+q7WNejRbQuJCkSC
w5YvcNEWbqgS+rVY2navtQLUbty4yyZERrGWIXxMqPm5B98BsKs/0yZBWwPurczb5n1q+p5lbMxu
Ueu79G6YdvWsAq9sKGDAj1LueiMdPwngJSEds8zRKHWYGJA7SASH/PqG+1p/72WJ5iInqPFb5w1I
Urp5uvZ0kR2+/7hROvY9pkk6L3OEKlLZcrqeVDpfd+7Sr0c3Q/DFPaw4u727svSIvsj3Qya0UrBT
dAC3hsUgs9PMe/GeZX33zGCzW402FGbfak1t/V2KVtZRGhgd2hernMMvqRVXT2NSFNvvgjvMbOE6
UfCKSPQpgqkRaP3mITs41fDmema/dyX4IuhtdC/cMBO7dMoyFs92PAM05fR911W1updcOdk8Xuka
e15/0at5V2neYjB70M19a5g4S4Q7Fge23ugq6LThGIfpqnZoG/nAYkYOQnfEudfnTrz03ahuE9A1
6OgvYie7dhF8TBchl6oHDvudljsjcvL1dhhpkyGBqhNnmsBAculdwJWn6qIpGnIz/urpsHWzPHXu
C7rmx1CvvG0E42mFWZCWKXNed0s12u7NWsueJi/xtiVCzPuLkGVtXwSQbt+X24gpcIAIVO06D5SS
lkrUVQ77SuDPXlB5nenHoTPfmO1ivWHhy9dlzQ3uhMhZiW1KAimsfo0fqfzEQDPsjU50D/A81BM3
UnTjxICC+3TwcBwWiFqtjuiBti4JVTedl56CtAf4aDBDnnAKB8SKeFsjBACJXgQ9kCbGz7EMtcdC
1uSu9H2qr1zN+cd1yvqZXHbBh50tc9oIaBpn+PPaQxRmLDK0kA4MkIa1Zs/Jl3LoXIBC47wBjGM/
m8NiPY/tBe9p18uZN5WziZtYWy20mVdabcU7GYbVlQIHc1fR9F0bLdHUWmbO5+9nvcc5u6o61702
MrERJelcXtulR7rpOuxlJCvloJhlcSNuZruiA9LE5br06IoXS2+u66agId0Ki4dYesthMJb8OnT1
aK9DDiZr9SIeVThAbj3NcqkrXDw4bjKfZVeG6yKXZDla/dggnC2za9GkxR4en/PiheG47ZHh2EBn
eBkKZXH5VaOuMmAdV5hzvSCaPJPu4JLFLIG6fhdryTucLYSfMfxhg2nktWyVovVjg6Fdunp5gg1r
w+9QE866Yek2Us+8U+4xtx8ymV6bWQwJ0DSygzUU9jGd0N/pcgL01dYzvqaOV7eMy34rm0ojulAV
MlsZTPQT39Vjb827adx7baRIN7C6+gquTKkHKO+qB4ISy83AgkMNVMruqFtGj80Fo2U7gO8k8YJk
GoyVhyZ0po1poHD16bBrD39p/BkqUDFbJoPxkWVDRBcJH10MzMhdYqcrd6QjiAcJSaJekl0wcDsV
4CsPppfo7yKyUM4CNFhZ04TWzHPRh84J8mnN6mBbdzyYhNIYzGgnddtCUT04k7Ws3X5pGUDS7KT5
M9aNX3jOCMZirFjpcHaqW+HMPPOameP2CvmPB9DkEb7RMB5PQ6+lQciP3qQmoaekZDXhDnOytU2E
qfapGzIJplFx+Ubwy2cjoD0Xn5FYovMbkuLemDMsd25aYjWLtW1vV2g1THsxXmGau0x/yubeHC9N
I8L6jlE43gz1IqHJ0AyfUu3TbQhah0b5gtZa93MI/ye+RrbKRcXKaUddu0GUP62rHHBbGCYjvtKw
P9LxaqFlNpCrqBDjQ62YkvWwtI06qQKa+cWHLLWPTtnXs4FZ25jJLqNua/ZuLHEaq+RhqmIVtK4W
7VitGN2gtNQvIM4oBL+FB/YFrhSRaKlZMfDH8rlypyi6oGmJgnJ7bV/aNcg1WfN9y9qGlD4Y9Ljd
uryaa7o9JfClbISk4CQ5g7YKlitB7Wn8GhG0scvItIedMdAFZZ5Z3dcYYJDQRaLp/MKIj3Hq1Dcl
luAXgHSlz1u9+NJp9fABYN65l3Df51Xu1tl+GBfFhMrL0ATGww7bok3mSNRYN5bbqpuUweh9TUt5
PRaDRIgwt8XKUY6zJiggxP7KYAp0SboZm4wtuciTQ5TqC3q3HgV7q4ojTTpzp0hO9uBMVwypiW8H
e5+BwX2nvNe/4Htxr3Rv6EXQGkz0xyZtsb/Du7gJ1VLt+wV2BX5KSB0EWqyMghk13kgtvlg/uYrw
Jux3YJ8NzKhYLdeW3qe3pY0zbSA65osDI57Mdz02zmCe+i9ZHssDjdHyOQSkiuOwHMwncXlDOnpR
o1lx491clsMxTlzrKi66/rnscXSAI5pguUfjkRFZ9tHD1AaIoHNxq6EPb0bgcV+LTooASYT1hkCk
MnhEwCLpxMyfkHbRYtXYYPvLWFrsdTuobkR6WI9mKYt1FtqgeZNxjM+Vtnxmo3RfjEpe4HPKDaIo
VxcJEZ5d8BI+NZ7iVYiCffAHbYYLsrSsZGme7lJyd/C1oKFc5bxtDwu7CsgxpvIn3V1FXa1WXVI8
aHnyMpPkyOSOOQiNG5i0HlyxTK+fie82V5mT0x4XlmyGlU1lvK08h9i0rKhOvcqNfduGlFIIYJcw
MgMrq92BRno3acWO7ZKjfWJDvJgfW3uvD477hOWx9Nl3ult2MRfYdgLR2dT6Ey/F/IZSMX2bdbN6
TJuseamHepbbWrMXTMSwYrMthl5a1FlGSQPyory16KCWcO+S+TVrHfqnQzulh9EYPqPJncBvu/pp
JofyaFLZfpS1cALsgR25gtlZVWPO+MHU8m2fgcObuFQnJPQTrOqm7s9wiaNzSjHkp1aedqhl7Oaq
jZww6NrUuOP5/9oD1fMH3mmeT1+ZrnnYM8usuuEmEzQZLFBeT3Pbmby4pL7WiU64ZZ5bvYPJerVw
+r5CIr5XAwrajXTQVmjlpAO4VKzstXahrw35PQzPqQ/iuGnvbAHXOQidDl3SIDZqhM9hc8cjDK+s
bRw78mRkDpMh5gtyHxcee9PUiN7thXEByowKD78WYWWf5QNbHd4nkVe8XsYgK9KMn62ZSbLAHL7l
t4AImJv+3kqsrxLADTCSfnmPVIjyKJtcbJbmkl55npq2qIE4Y9Cytk2UMiTTPE6KGcpnOcbWQzKi
RUqHhAe29WJ/KqmpltjxNrZmb3szNm7YgzyxIGfXc62cQ9M4nd9PvbOu8zJ8q7xMBXk7uTutMdMz
uWUKJgTSFd9g/rGbO7z70TiVd6XqIipc7bYoin7fu0txC9bZuZEMJFZO6hhnxCvmNz1iFl6lABba
IWFSgQ7jGlJ6fCLAFKlinXpIVxYwlcOXFOkKcN1uS7Rquoa7j36jn8VtGA7OLp9IPq36rNoCSM/v
e1Zcf0BXswZgJ7ZtPjxEhAoDDxLOwYxIy+in9hVLntylzPAD4rPmAwuptmMYM54o5eRhQht/7qIm
o/6tym9Dj/N1lff1u9mk2P9cJIFsAZo4e68EWZ9IyIbw6E5huqJbQrpR1BkPg6HNS8A0wfbO+AyZ
wlVlw0TQxJZvb5pyVmzN4tY7l0ubP5SFV/qFvXjkYHXRqqaF9eAY3ec8o1EUilKlbUzAUGr6AONQ
HOzcKFAb2WySGgLNMfen+yLx9DXbiR0cqfTA82+j5Heeioja2AqraEdVmJME4X50+KtWlVgu8kTe
r1CwdsPsvEm2IHOKpb0Vt9RQF1oRbSJtcPUPy8uno1WRt+k0yJ1FVrbXUajvRk8Lv8Ugd29soRm3
3ex9a2ZLe4p49B7xerTxCswbOkGvBY3ZuTpoJSQ/W+HNw9pIUFYy5R59t6QD8Pt27r92QY3vswwP
tC5hwvKXXqszw1cdNRc+s0X/jigwwNN1xT1JNl1Musvvj/YvnV3mhkJ6uol9iJbUr2l0ElkodZJs
d0sVQR0k39pPCgkKK6rzPxgr/+5QOumVnmvjU2Lp+7m9KzoHBcKs88ViN3oggIFXRjrqV6Ifsz+4
MX5RG9NJZhpqEJVpIfXiiL+cQ8bPUDtMDlW25XDK8v4yxk4pObl5/Saai23FwD74908lHBAk+diH
DcKzf/5+dgJ0SCO4a7dknEWGsrylW1p27EmtP3y/X1Fxl+/HA80IQ5JYiHD750NlLP6qrrV2Vyz4
Dfw8ZHipNXAjMoOOZk7746ZedDqIuYqv4JjPfzj+pRP/c6ee45uYMTw045jpf+nUL5FVxyKLup1b
YGSl6KKR0UyPvz+fv4w3v19EE1c1AaSXWZE0fv6SpGj3S483atf3tG7lFFNFRNIMz7kBKV0tBkLL
wYMd3FIk//7Qf3f/mIYDbRYDsKdfpmA/TiI82wJBa5jtpUmyrGvT7qFqXBrBUhM5bqeICmyJoe38
/rCXO+TX02oS7upchlOGc/ED/HhYs/OgsiUcVhIZDOV5fHQwWOwih7vWk9y/vz/c3z2Q5HEzPCV5
1f0XcjdAUaFr7sLhut5+aIxmy+Z/XjehFH9YZX6Nn/7rWno22aoM9xwu6M/fzFPqH9fSUcP/Ze9M
muNGsi39V9p6jzQA7oADbfY2MTOCQ3AQSWkDY1IpzPOMX98fmJnPpGA0aXq9rUVllZVSBDE5/N57
znf61/rt2Ry99vvQ8GxqdWJc0VLWt7Yz6S+BNzeTkPP+Dx5a4TrMo6UwJYbmX3+HGNDD1Ps6yDcS
l26tNqebT5bYJ0c5d1G5hfP4Smfw+Tbk+mkaJzEotTJl6XlbBbpoVi2644AEi1SPj+/fubdQgiNx
JCwDRozzr/LToWKgHQQh9SyoeBhWZk/IlZN/+/87xsmiFlqNafOhrnaG2VxNKFulk/7t+Hkd/o//
V35mfnn24eD5wz3Mo2ipdw+HGzl4uSHskWTFg9Dq5h4WJoOyrg+fA40VBmiYTtgZYxbAiPoFVOfP
VrT3rx72FIsRCu+fS+viZEWTVtEKLceM7Rtz8FveEC1hxOUl6S2AwAo3W/3udeV4MPuRRlimod4g
BD/du5KyyhkLUe5SUI4HYFa3KjDUJ1uJ98+igPEP5YLWrikc42QFdX2QKYRGlLuw8Vu8m2iS86JD
vMgs4+PTOXMkTgIpCgGzlpDq5DFBNUoy5ejkO5Y2iDBafSCt96GoosePj3PmNhlKIivhXrFyvdmM
frpsSJdj4VYq302A1qvkRXMSZEHZMsS7/PGRzPffWIyUPx3qZLmgR2V7qc2hWkLcUBhJf5H2qmkW
A2ykddll05fRYj9mMf+oVqWku69XpfcVtIe2biazWUdMf7dmTRstRcOWMjia4r3lRMW+EQMmqD6Y
rjxCGu/Q1wu4lEyLqKuadWI2UbMHuDlc93lLB3ts7WRJmw3KDuSxT0701LjK2swXnLmezgswh3Gf
rM3E72ikm7dc0zpontw0068RKd4hmgpf0qlVeyJ6mJ8m+MCH2N8ouNzMrLEy2ek6tJjMGmURL832
C3kuQGZhnRNIiA3UAX1BYwlmHIjYuKffGAq18CB9m7PHsVtUnan2WqS1y0Hmcsdsu181jWMuOU60
ooWnLmOJliFCdw2hKA9W5C8uJ+UPK8l3FZykb2pzKlSt/6k8mBEfPwFnnjUSHwwUHHyz2PLPm4Sf
njUPKDy7j5HrEmn1ZWcQ98hdH4DvkTm0GDzR7z4+4PsND8YH+DIAYDDCu6cbnjLHqIlqHa+U08gL
+q0AH/yqIXSvaLaegxshoPX6IENoth8f+czry24OM5SJFud9zQFkq9OC1s52tLnG587ujW/wF4wH
Qkmivz4+1JmTRODBakSvg/+cbh2Zi1Jvjm22Iy2DqUhnMMRjEgRpLsqqC2KB8LrWDNjHRW/StP/4
4GfOk30VwSw6mfPsoE8edeThLW2nLNuBswy35Lg++MQYLAHPVL+9DQAtzfukUBgpANEnCyI9oNrH
wpzsTMd5Gkc4Oia4EN4iIX77MWW7gWAKYRTVh26fnFMxu1N8WMzoCsD6TjaNVxHd9L1lA8G1v//u
BZS64MRMTJxMkU8/WyBtiRVMSk7LSgUpiWOWM0NkplNDDf4sSfz9C8jB2NqwNbAYaJ9+vkq0IYHd
ppyZJh8CoT2Vk/MdPPOD39uf7EHmd/nXnTeHoiy1OTXWfOvkS5mKIEQ+jxBDFORL0yt1iXdaqKSD
8pV1e9qUn+1Gzx+R9FdkbPNLd/p5kYVy8vmIpdHtY7d4yUfjQcwuIsSpYJRa8/L3bx0bbyA/7Do4
4skTadXUHQS5xDutbfeI9XdSxjehrX9ymPebUoksldJQOACFzNOGAsjEIQz50btOMzU8YYT5FuQ8
rj8+mferCEcxdDYbDuHr7Bt/XZsHzRwyglPiXSXoaNHpWSZR+0Nl9i2BKwzUgcwI4vE+PugbwuH0
KZkXDmXhiWa1PDmql06NS9kX71wLokKfwDFeZkUMAcllSk/eSr2ox5nRoeUyhvYw4bLJal1tm6H0
LxLmyJuebREZ3uUdbHZiiIuCzcG8LUB4bx2QxdlfXLO3IXjX1ie//dkb47hz8WM4LqrZXy8ZkoQg
YbKR7OhOQyscwSJpA33Oj6/R+xWWG4OukpaSa6p3W85UlnxG/DzZZY0iCTnvdnpMtKxqPtu1nHlh
saezt2Udsqlhfz0bOB4iK8qMhWggxigmHfJisPVh8/HZnFuBcNLThnMoyrl2vx5linRz8FstRjxU
4zhQfKYGC0ZEXSd/dpH8/V00NSMyUT4ZOEn10wqVGEq7Q3AVUzt63+drV4X2bVp5Tx+f1bmXB8G9
DQKP/g2kuV/PaqhxaU85L08SWs4xHg1GbJ71nWFLvql8y3ntEzLn6BbWn3yqzq15KGIl+2r3TNFD
61QPBAniO983b5pMe5ki6DPRYxFN9yzXnxzt3ANP2QOST1JZvmuSJZyjssme3RU+7sDUttRtb0ba
6uOLaZx7RriIcIskqEHkS79eTbcly9ui5b5z2l5/xH0P9hHFMZxMSM3M5lT/JTKcnLz5prspAY1f
W4kS28BB0zmNBQwwP8K7X+IMTIBpb4K2jT6rbo2zVx7AxPxmCuiCJ7e8wnRl9WnK12aQjAma8sVo
ZsuYcOqLUDlP7UB3QpEwfplkYFXivgNq4ubfAhQdk100+6LHTUkXCcAx6L6FG3AeH1/IM9eRmTZb
UKUEzcXTD2KCFRiyKNvtPpu+F5PRbPQCMaWXoF8ZXz4+1pnLYbxpjK25Ucuu+9d7ZhojFDynYWvv
Gd91Gg6r1NJfoN5kO9Ck0ZpWefPJDuPMS2cYTOzY0fDFetfW7yrIuxVIvR32secg9LWliWqHOUZF
KgUJQV/Kqi9XqDG63e+fq2HQxaQjxQbxdKWUmovc0KnzHbXadWljeMLRdUs33l8Esf84Opb/yd73
3J1ky0YbwDSofk9ZgrwrfVNL+ECa7pfL0ehQJWSiue1LN92lNoX0x2d45pvDCbKHEnzY2CyevIGp
V8kgxCG+GzowcIkk+gnOWrkSKGL/J4eC8iQcmw2jc/oRLRTxQmlGiWa4eXa0iFpfVKqxD2FrGJ8s
X+eeUcLteTwly8q79neHJC6DOUGtkrYPbZD/ZVnYiGARLUBF35L12fx2ccQChunCtKCZsEOcn+Cf
6l1jYNZm1lO2m2aglq76uwoXa0Ef4JMDnVmYaanrlhB0nrFxzPfzpwMVU48CzKMEBPvwBI9w60zl
wyePhOBnnGzVfjnGyTOBmyuOJCCLHYJ+YyHDEH6FVVt3Zmt7RBj2UDx8HQdYXxWr2o78L3lfKcRC
zGpbB2t6b7TauspIgs7lgAJOGAaxViOB26Kp9iBCg1vTJdIgG2GeeYWebdMacRbV7UiOuk+sjQWL
cYLzfbSMCq1uxPj+bnKBmumZQV5cntYV0JHSIz4G6ehNhCt+g/gUwF0cVjfBoIKtUdUjZDgkmp0I
0qsO4/TOid2HMI/rJVc43qT0imCwIhTcIU5MF3k/FWuvDSzEwnF/iVEXvhzE8c3Hl/fcs8lXXBk8
J4I5xcn6CU2wbIiBznbIhF/KoXnB9H8jBSnRab72NLDMHx/v3BvOnpvNHu17BkInxyNaMisF/IRd
UwZzz+m6N+OLvsk+2by+b/kRlMPUkMYfPQLbPTmMHOIAUx+xYYjIbwsQc2gGndcy/sIQ+gpBCgGE
5je/yj4pmcT549Kl5YpSXJ9uyNwiLdOit+iJ5OP0HAw6LqFKarcYXfRkjWaGGgfaP0Br+HKrJEMk
qLUZC3mJTd5C5W9FvXYhdNCMRiMJL0cYygNXbJl3MsF2oz8to6NQH5ACxmryV1hgbXovalr5BvFB
sayXzmSVi7iJZLxopsJfR/w+qyYp/sLzYRwjJ5m2BTz+DY4u/v90spaQfqO10pT5WArrs1tx7o7b
sKyAKtJmEHPq7c9rRKjXFmHSXbbTm5eRcegC4N02Nprukyfr3Fr003FON0Zd0cFjc8mQd6xEX2b0
G5ZpEKw/fnzPfRBtQnKZKzBvs535l/hpwdNL6LelrLIdQydIbnAiKcaf8jhAU1+Pn5jOzh6MfiU1
izvn/54s43bFYpQlvCtaYKdUotO2k8UGBSha6ib85PKdWwhgh83cYCx77za/yTgSPICKaldF1a1Z
K3sJFOIpT6q/mhDNQmB/ciWNc8/FPPOmgEVCoE7nNFNdJFxf9mnRkAS4vEyDbEywNya9+FUutGAn
i7JZwjgVdyHB2rvRx9Tg52F25fhOvAEgNH4BQMgbVXtEiH9yPc7+eiyItJHo30LD/fVO94NXExDK
Nqcvi7+E6z8GZnefCHQkHz9RZ49DUCpGF0Qb7zYHNRbloECPt6MSLejmNC/ZqPWrvK0++ZCe27bS
nEK0oc//eEt//unRFb2LgwPt5a7BMxLUSFz77LYioxS8102Slw9p4n7SqDj3AP90yNMNazTJBI2e
nu60ftj6bf6XKxPE7fa+yj8zEItzzy8VKUMyto/Uwid1ESZxiQdfpSwz5viNBNgffejayy4Bf0H7
1l9qhRYuU1bkdVjOXgPNmJWZFaI/t6ufJE2VJ48gnF1r4ljA1YbPKGiqewJU8pWTJQmxmrWzGVTv
PDoWq+bCzmoEU1o9rIi1pbWZmz/0HsCTygl/LfRvEUgHpDjFumHLFzpdT9YR4RltOpr3BaJrPvZk
6338NJ27Cu7s1KXFwXN7OoBNYEYQCF+w8yMzeWomokx0+WQV1oGe6VMTjv0nBzx3i2dnFkIZRbP1
9LIX8O/Gks3QLixdMm+KFuj5RPW7EiQeezAj0KR/fIpv2omTDSGKGQCIJq8LZebJnfa1EQqPk6Q7
O53cJdgL+14GBjgPMVqHIE9IUjNBckYS5eSbXeCNyZ62EIkbJH1bre9Rrn/8S5257mw2Zgu0izHw
Xcnr2qOTNqZIdjEcVGJ5RhuoE9vGMcrrp6giyxtd5J8fH9Mw3u+MUSXQ9ZlXbfWu9vUHayq8jje6
njykrALWDYJUsam9qgZ/YwNStiHeJ1aydv0qgJ5VxzgvpLH6+BcRZ9aw2ReOHMOgzJGn7X0daYRN
fBIJHFkkGI3MvoZQJNMt2mpyBrky6qKJUCNjsQIMQ4zG2tBS5qiwg7pjL3p9M46e/hxINt6AdPVn
tsWA43seKRxT8QZRH3i3NvhrRIzNkt2tpR0Fa7TCclVpWbML7FIRm92qleMfzDwW9xAohxteW0xo
pA9MT4HTuvtEV1/1meT08QU4d/5MwPCgq3lCf9o4ot0GQItYPeC58XAfIEvbQUsKn0JDCza/fyiE
12gNZkD4u7KVoVNZpvNnyc1FsCpKZ3bzEf2wd4PEf/r4WG/37fRNm7u/guqVz+Bp+U9WadL2aUhx
0Fmes2gYGGP2mgAcQhHqVplKjIOR696xGeBDmKbm35oNYXZSJMW2IIf57139f/ANn+EbZtXVT/fu
Hb7hIvsevmS0zv4O3L34/l//mzdx/jv/ABwc+QezS2JUmTDShZgFRv8G5DrwGxCv2IyNHUYhJn/0
L1TW+EPR9UHdomhlo/dgtwuHaObNCvWH4g/mv+bOD6NyfgfgAOfjdCljo8VvgTcVsd685f11t4Xo
PQinACkFTr5hJcokebFwKROxHupmAWcbjBhGrpHEgRbs8zL2TeDwQZWiZPLksDSwGa09Pey+K8iq
NxOBkN9clMXgltzYR6DeaulqyL2GiKspw6xObAQzKfOmCnubbNuuElcgXxk2xVGKUb12E8oq27lX
qG7uqqHtbvTuJc0rSvQ6iB8bEve+5nHYaWibEnjrsV4ML+Bc0wFbj8ZMSRM+ybOUoAicRKP8eF3Y
ZfxngAMPPHWV+hGAxcojD2oML2JYkwQEJm6Leg49wqYliQ9cWGU6uIFyFv8lCSaRQbAs6eqlC3d8
MQRecCki1TlrFDrhrGpObAEFNM5fCyJnvuZkOFy39agvW5HUB9+t+1fcZNlXgPRWsuwcfzzASytv
R2ANL0SSmIswMvMFCQ2brp0t/C15A0Po9NeTNeRHizkcLQ5nIN57RECzTYYwvnZEOtzKRLzZYldj
nV8AncZ1V8btsstaSls5bnszVMf5W2wuIpG+DsgEF2JInSMzFHBaiGTuxQjUPazrek2ahNh5U2GQ
s62BmkOyqVbROLUHZ+hD72KqjXLfTUlAbJVvQc0OrVJdOnpqZsuKzcGjSIv2vpUxeN/W6Cccfp3x
HKrYe240uG7U5+U6y1ztsp+ISSPYw8ahNsole/7pcvKN9ilBGVNCiEiry96rykPgON0PFyprBNas
0eJVncjgppNZgg+SNvMq612sLGwPuqtEGyrc7HYbv5RvOWL1QJSiH6YQicyor79hyWE32RNMj/qG
Zsgx4ytpEDM/hndBEYsn00/DW3eyOBpDgOreIM1t05aBPBjYnHUmynmANKAh/GskYM9sunLX05y9
84M0WdppNHzVMr/ag9hw/4IkqqqNrcOPXBgCs8a6L0v3zo1s3J1kNOfac+QL+xhgfgLm6hAUvXDr
KX5FmMPsoyVMfe3rU7oC2GBA9zWyB+5j/AWKaXBUQ1Rf1cYY7BV0fndt5D1oXS+TYExHzOc8rvmD
I8pZ8tfkKENK/tzIfXlVdrLN11CaiusIzk9YL/qUtxz/ETbBCM8aYIRZnMRui6DPLtT5rzwz/L9V
W2Nkw/J0Bz25zHQdz9LCrAmxIcwOQi5bIt27G3v8gfvACiKM9vbRcKJ4VUjFNFmEeEIxEN8P5BF0
6xpWwVfPgzloJF6XrFQL8nkZFyYO2LS27tvWwrM0hkazbORYkhAZ6teySIfLBp7yVpaRtajzmqjT
eARd5XUx5Tkg1or35c6rB5J+cXAlXwavF+ml3TZ6dFQhWacu2qep1e/lVBNfjEbBzqxr0yi1Xd9W
jxjv+lstdtwYApjoL0TV7TH+2Vc5HKZt2sRk7g1zK4d64rbMHZNYHwTNOUMAjJt1cttXAi5uHw0Y
sSICwIWbrBUpVCthuwtqmRA8V3CdRrwfaTOnr4SXXcR0KOQnCQ3vovLKtRuaX21YY/SltD32oUVb
5vqCpKWaH6PBgChr+RiAMr/wQEMvDS4LRn+nvgl1+dVtCx+KiIAC2XfaVTQZHpBFVuux1Z8yoymA
wJHXGI/fqxqEysQ19Br9EIVmMy4Nd7Yl18GXQRD8mkT5o6NGdQHH5ZX4zGRNTuMdNAGX4L7k0RfV
jd1H0bEps2dcnNADxoMi+nmT6vl9Fwoke4Nqlr0+Qkzt425lZgleBZi1zg65ZszeOMNr2dWlWkyB
fQVro95Xoj407G032Ga7LX55IOL1iK6DdoZOLFwc7CufOQKnV0xfg6Gur9yhlxtEVwuTx+hgc7cv
db8yobS22Z0+lPlWszJtS5AMTxPstOux8iLKJKA02J2t4rYcR/cOghocNwiryW2Mk+/GdqvvKg/0
fRz6xmFK3RJQBlS0ZWENxrzMEo28cHj8HhRpeSu6rzmGLctcT2GdrnzbH6+TAQPS2BnVlwnp1FKz
gKCabnhrVVrJK4HGoeq6+jqt4nQJKTe97xLPu7VMD1AJXJgFDvBxJbhNrqf3q9gUwUsyeC+o2Mpb
s1D90Rzc4RBib7uzQze7b/sc66yw9zVkbyR/PDrgDJ6sOqDHqfGPIBq8JbIAQm9j9doPXX3nkOqw
nNph3BAY5m7aXiU/7NrLrkk+qNuJnKiGnSXlRS2vWWO0y6gJsd2WQVrekWWerEqVxQehcrG0PLPY
ukMdvEo8FLBI8rpeqri94yFMrt1cT47RbB60M1utQ3uqV4z8jkrWcgVKorpIJyGOCcPfldaOxY2F
jM7qKhu8sBbfY6UzF+BrKKhxHG9qWtgGT0YQIzeGPouvXWWbMTQxrFrC3hpFBYG6s929Vfcj0cjh
cAFqAW58PNkXWmLY/xRk/9knf7ZPZo9KN+C/kVvv9skH9sftazz+slH++y/9u1EmLQHFC5Y4xWh4
3gz/u092/6DMnrWGyoWCasw6wH/2ycL9A9O+ayC7FbPwUqfF/e8+2f4DKpkr6KUjs4McZv/OPtmY
28u/FGTopecWF4NuQGfvui3CFkHlTJ6/R2xJ7vU8/rjtDX/aiB42QVgqd9/pf0a02y6KEhTwgiRN
l+DbrqH/kHZbURrllpWe1NSfLuPx71/h56g9hu3vfjVObiYZ0pqRNE1PdvB4L0crNh37QnVQTm9c
lu8bwFl8j8lAsOKF0RK6bkhNrsPKWzQ+ewut6IDVEq/lfXeYhNzWaMTKal2MKlVPU6H512NQYncl
+Mz4Si+/sat10hUTXldbc1YJWBr9hk+0U2vwjRvN2RFFPK0k1sAmWBlJL2Nc6yROVF+CsfN3hP6R
egd5KinvHK9OxpVUYKEXbDLdvVO1xrwZj9ZD5T6UNBuI2XZ7RxyhPLVf3LxIFn1Vpt0CWVhCYdJH
5Z8puT5k/QpSUzsJynRJMp0+shSzLoPsMYMEgXiexBtI+aTbRK2AGYqKPO79fpNV3uPgzaiccKr2
2GUhUbWifg31oLpxUxz3dlQfAGXui9yuH1QWwqRwiSBWddtA3w26/aB12ipUEzvyhB3ddSnFeJn5
wUYj65GyqTXyO026X3URwUYJEZjSq0yCZ2KtCrXQW6u/0tgB3sIscwfSgsZ63YfdcOmr6V5v/eSm
GtsQ2gVWVbJzbAO7cKxJoNqQiN0iqDGdQ2mnvtBD+0534uKuA15Np9RJj1Y3KejoojLiK5ERT/Ul
ogmF514Lb6apXMvRMzclps4HJBwD0BqRIfwqrC2AzWxTqCaIl0bFFKdGKjunWBm7QXjFGi2ethCT
Dv5bL/ILOTX90ih9+5arXh5IDMBhTDLl3mdEvp9nOPvA0BN/5WV68lw0Rv2Qqzz6UfYGabhxqxX3
ZR1O1yIzh0tB3/e7rwJ7I72mXFMJwbk3u2aZjB2EohAzCS7gTm6mkiSoRREXwUvMY4/uoxqW9Ecq
qBx+f6crUJagNLuD1deogRB6s1EMkjWw8Wxh9tD5J/gBxOxheGv1CRl9FQY80lWqvE3fxTWemVLa
zxY/ZCbjYz523HYNB9h4Mf0oAAw9jn+ByvGuaAfJlQOCgXmJpDRuIDJ9rc1xqpYeW5sLs7OjapX3
Ygwg0KhsxDePO3ehLKhWC7NMlTmz8HC/o2QfV4Dt/AmYkac9WEPN5lVqSXPhUtMc3MLKrfXAdbxg
4FjBlDCS4NKP7ewwBARMCLhk01J2ERbgjiiI0bSiReZ48jWFxgVrGIfTw9QX2aWbAEWGmVvGVxZ1
PhFk+AJMJ5zfrsApJT1CCQams0m5or5x+1uV6aG1VXFuX8RN9cUN+ulP1U3D2utreeHa6PhJ+XPT
VWGQDsBK2H8l6tqpFoVjk6iR+lNmrBjHxzM9JutHSM2Vgg2mXFAGZUVaRo4wpbumdkSwb0wMvkHW
4NMwuiZIL8dcNZAbxq67yH07t1Y1iwgEfVDfN1ae29WiC1HCURb2t3ZFHDhiY0iFizGrkxtiKOGF
mw5DQswSubapaqPAAFVN9rXNcnCgoZeEi9ZL0kevyUoSl0WTr7EPiyvi8spLjTj3eqXmOiqcKyqV
m1qyMtpQrvS54rLfiq9qrsO6yaquejMIjqHZx1+KuV5z5srNH9sUHl9PLstbYWfVcfwa+eROgeab
Sz9NVPaxDsdEe8aaRXE4zHWi+VYyqrfy0S8qu9rIuaqsJlHuUYv3X0kJoJcwV5+MdMvdQEE6abYG
Y3muUvW3gpVZvzwEbhdtVN9V95bIKW09ww5umbMyPu3S8E6NQ2rs6qr2j0hNChKmxyZOwJEF9bec
CLZ0IUl8t7bVXFN7c3UdlG5JeLgB4qqhr0Grh4yLYIESjo1YPDYBYbZzrW51NYcj6qH7wfpO6asF
/aZU4OhtzeUQvqtPl5K1eRONIrqoYhOb2twjYG0YLqK5b9DNHQQEnTQTurmvELNjXox6PtcME9EI
IO1pPkRzH8J4a0mo0ZzbEzWdCkoCmhZdU7aHhuDHt9sGoyE4pHqF54XezNLsDLWuA/s1Emyu50kW
CYCDeKTmLC6iQqmjKwKDo6avJsU3D6IVi5tBKy4jj6V/spJLf3Q8+iok1SqCromhGEguS7WVo4Mh
KAoZXY+Yw7cy1wr+wjSYN2Qo0hLo5/aONTd6TLNFPBeM1HgV/wgdXfuGaba8rUwxHKRVymQJC5D2
keV2r3AO6gNRTmpVpfmwnfclfyZz64mn1IL98daRkm/dqXFuVNVEcgB8cER1EM7c7LJEQFfLqCcF
mW7URrmiCHbFZqy0EOg1hfGjHUH4Wpdz20y+ddDGt26aT16qR0bI3GVr3jpu0Df6l6x+Uza89eTa
uT1HElT8yBaO20XEgIy6G41wt7tRt+9j6DDb6K3TJ2RFUyAj/PCqfusFsh03b7wYtTtbrPzbODcN
m7l9SD+N++W9dRUxZmTfhFWm/EyajubcftTfOpFqbko6ZW1cglRhOR7mpiW0J/qX7LvoZSYOVPMF
g+D4xXAV/B3YIDBNBP2nyC2YxkKZXvDW4ZoV9AIDIJk4otZaXqZ3xBc11yD3xlvceyENjE4XK7s2
aClWiQnBqq7vfLfnYw1s+ooknICmJ6/YZYhH2VpREFEG9TIUYDNSSbeC/JKVh6DplT5B+acD6gQz
16S5e0oh8kwYeZHzlEa5ux6NqZGLqq+mCyfCTEdJ1dqXTQqfa1GESUs4kDYpMKVR1F2WxmTBeWEd
iZZVJm2SrN2oejIjNWq3nZCp3LZ89Mm1zSFm6TwDHj6NxN53UcWXAJFXVu7IDoJHNPQwAvm0SvZf
eSKc+2Ew0AeUivgmGY32AY0XC23gziEPuZ1EVxX4MeRcnkppLTnDY2W65R2tL/Wt9Jxom9v0ouBG
xdqrNDxt7wCqy7ZlXRE4oPmpDjDOmPhklCpot2FaGEcCeYN0T8yne+O3iqCnTEcwnuj4VwsHtRcu
uU5b1KK19dVAn040Bxt2Vv6P2u4/Zd0nZR0S21mv//8u6+6C/Ptf/+uiTl6y7z+Xdv/8xX9KO2X8
YZiYj5jPMTueZx3/XdzxR7ORAr8whIlfGNbmH7MDfPaYo3b/ezryT2kn+XHSgl9tCcrF3ynr8Gee
Fk9v00PE7fj33Tk599fxR1n5bZW60PE16HjovYL8nh5DE659x8WaaVrPfdrNreUipIgonpFbahd6
r64BYpHHkE4Bzc1aprdul2ZHtGaPlqcz9iiSMtrkknH81GowH4nEYWnWFF86eEtOra6LuQ0Gy+MY
DX31Albvyu6TK6H1Ww9+7aqpLHfJDJAcjK51yPoKf7R6G16nXMdlqYps0WZ5SXvLIZfUMnsS1aZD
7upH24C8SJDeSz70MHnBuY0S7WTVhD8gVsWrFBHgrJS4VmLY9iHe08LPfriEm/RsJTxgVkg92400
46t2nI686Qfd59+qIqKggvBlLBryScrp1SKYM+mMGTL9XAL2y4lFpYMVCNQccode2l70ek0LsvYm
5gnOtdGI57hLXpQ+GYip2KxXMWmkxrFJSfyWcfIjKjLSjvwm2ohkzFci7ekUUhUsur578EV/52SD
vcRJAGMocV97gqy2BuAlKDeHuDXzi4mx81Lray4MlTZRVXszaM3lEA8PdjDe9YV8DkS894fkpSqj
F3IRrxV6RZtZCeMPTogl+gfMjKNMuFejaKiTYPBpEmYle+zFwJaUQCdGSGbOhTIDKmrQddD3TB1V
ZeySSKd1+aEpwnHta/O1DNKX1kD9oRNhDVEJaN98rELyL2jldOxr/diY/bYNpoPhEPJGjNKhULm2
ZNfzQyT8a5YRXsXxcDC5OTsH8tciAmAHc298nLwGdEljJ6sQ+9SK6gUFDTvVVeDKiTi5aI8a8rGS
JdHN1vCQkvMwYKREpAf2Dv/mS9b1Lmbp4ZXkiUNn+uEyCqrwOi7Vc0givVOKG8IGjSWd1c1oNrvJ
aisMEN3DVFq7MCwaHlSx81PukaZjJI+bDi5nOx1syMPrvud+uuBe9q7iSRjgcC5KAhUWRa0/Zr7x
6ooeajVBG/QloHWo7qGs2gc5JD9SvvZL3c6bVZsOD8IzAr4cTbFJTD6Jk60RfkauE7HHXHcjA+zp
yue8zMgKlNY1/D61YSL4wO6oYUqveBShhoaqGnczu2qhkY9dmOC/iDRzyasMSEEiyeRW2Dx2yeB7
S0KDrOXoNt2uVGOHt8zqLurUdi6GTtNu4mBM1uVUpDcZBk7yjJJunwZlvaQ8EK+Uut8oW2ERU3/4
PDV5SAQRneUiWrnkyKxUPPUvnsrpU/oFaOQtIJ/sMc68x3TQ7HY1QTsNAQeGS2aN1zKLv1VQFJcx
HOYhsKlQRbgqAEWuZzK4saqwd0WLEG8E39SGkD1VXidacMxyQvuAgDzmGrkndWtZ6661XkCeV69Z
Bo8y02Yth10u6PBHVIWuvSEysl2RAu4djcZqFj4OscUUma+5kRdkK6ECCTqy0AfT2NDv5b7RR2cr
zmNYegZfYaghN1JX7XYweejGWD0rzb5uzbK/8Lrqh9ZXkBriT5xsfD9+7c4xCWe4QT8RYwTNwvnP
f1LYhZEtW3bM+U52Gvi3FvWi5wzXjCfxzxv24qdP3LmW25mj0ajE7Cp1ONWnMihX9m1mjyrb+bzq
q8yI9yZcXSKWP2UwvVcO0m9EbcLBZjHkqaisV2oQEYqPndnEL67Hajgvx5HRj0uwpNQc/C998/HZ
vWsn0jQVs38dzzBQ0lOPqy8yGgH0/ndjYwVrq+4e8oEXWxNy12tMr+fzhXdwqGpWt48PLd47Dt76
qxa6B3Tq71wv5GKBfR6d2a9RiVVEtPtx9OxgXi4OUR7FO9Bhr31N8ADuqm4fdeQtVZQmkOnH1wBX
gp9NB5zcfHVBRLpuqhG1R/vI6Q+9zfLt2CYFnuRZzaOrjJI6tbq7IfUfdUDRK3uQ161DSuiQI1O0
rLz46uNKX0pSZlcfn+l73RKWFHq1OC9xuL9rJ5tJ6Ka5KbNdYNYbmetHuJLHdM4M+uQ4564olpR5
a+WAuDk1pNC1cgb+kGfVTeRFjZViNEK5BgMuFpntRmDZ4quGgvU26cajavT0NvD5hsrJ/1F2rMvz
ViWK2UAY5nAgJIcUub590Fz7mrnoNnBY7q0iTGFiEjJaAid79i1z3JIvXzApHMNDq1f1XRYPEBj5
7LdmKPdN6KRr1B/5QWbhD8LwbAwbCXeRzNrtoEU/vHx6dPx2MzU1H+9C7IKR2Fbmv0s/ZZomiuFA
fjHlezsdycQUC+ICjA1ph98qspKWymCP9fGFPLPC4MUC8mig4TXJpv91hZkUVaDUBPLOHvgy24mB
lc1CPrzQevGJqO3drIE30AJJ9n/ZO5PluI1tXT8RHIkemBZQLVlsSiQlaoKgKBFItIm+efr7gb4+
YVE+Vnh+9kCxbYtEFZDIXOtff8PTIl/lFx+dBl6Km1uwz+1suFitPGH/8ZsN851A9tM8g69COw0f
iD9hTq6f4e87ZlJnXS5Eeaj8Qe1aiROwFS2v604vFxOfxAaPcMM6+JpxM0Z+QrRcjtY5+tym6TfP
ISbTwHxi4+WpeRhSDvHEZ3dSc3HW9fhtcUYTc3mSz3LTWTapjZYCsLW9JuJ+O3jq0ev4107rxUdr
Juo9t6lbMDfqApAltTMaYphMvzb2jInXWFP5ZpcsQaxHz8OUnTIb4znPSSlQ9ZHqV1dBWSYyGER3
qUoj2Vrm8htCtfUPbyzPAiYeVEMkVx/lM6Whuqmai/Kg5zQKQ1IQZdARVGVoGd854Q5Iyq0wn72b
wiacgqm8wJqxwMOctQyqsSU1sd+NEW135+hV2Cfiy5gqE6DIXTbZ4NxEPdz/PrJvEjKPoSCxE6mK
HDJcy56EMb7i0bIhPuHTZFIdkqGC56w27bNEPM0UYhsVJWpv5uOe+IdLbJP0ljasTwt/yg1pLOMG
O3BiRuA67Q17efJVM5z/80uy5vTwv3cR3Dur8W+LaoxrN+9GBCejV4aUOETBjHwcSxA6p37nt4I8
8ddz2OMUZltDlwn7/MM7uY5cMCnrEU4YbbnVnRa6eJSeIk4qX+f5LBVLcplpkMCAoJqlVIBxjjU/
BWBfRXCPSl8FYEWwLZwFTixU0g0u12Rx69fa4N0Sb9gGiU+1P5WVGZqqfYW1cZny+YrwYg5jllls
Zi/RuFapI2kzhO7VfRmmU2WQx0F2QZd6u45H+t5eLtZkhtLmL/oNqQJax0+ocdipqCeFfenQ33vT
3XsTRLh7FY4Ym57KfnyQkOxDb6UPLDWtnr2MD02H1els+WSoDQ+Mwe9qTZ5Mk2pNd/sQWHkO1/9D
WGENL2ddkKonr8dq2u36GrWTfVO544MTrw2EnWm8T4p87JpqSUTpeaozL3QVf5vc6C8wbXjFOpJb
fXt6bbouHHtucJrLszTpWXz8KgIrt76kyUA8oUWMW2UfBhIFNZgtS1HXG/xxaH+6/ERTvEduCvgd
DyxM3g5n7M65bn8l2qQ8Zbp9M7TkG2MbFKyN0bQ0cj/WBAPBhL/JO+uL0cjfncfOP7ze1DqrJYWN
lAnDxJ/3wxz8uTYsG0a3O7+W7XBhAHNDfcHNY07CJCR7eW+1q87Xd51Ppff+zpdJt4M+Rzh4yo/V
BU7NHdpnP/Oxh29MF+NY5LuG4eGGMvXzIddbjQYtK/DthL6C+UL8Wmu5f1a48oZLzLnYLYl/XbKX
49Jk3hgae0zazU+DSbklGhNyoJC4PcUdEUUelXVMY8h5mJg4k6UxZbab9g/dwA6KH9ylwWM7wPr1
PPT9xbJ7uQfsm5gEZ2ZYjwsDkPEhjSDtF7q2wDWZX512UbtGdRcM19NDJp2bgUOEJrN/MIlzWKv5
zv3rfP0/hO03CBscb4+a7X9H2K6rXra/UIz//Km/mBPeH6v+hg4XNfU7eeJ/4DXf+kOs0X7QhFeJ
qbduyX9xJ0iCQ+AmgN2Q0vu0F//DnTD4hX+edAbOtgwf9f8Esn2oZ9i4TQvuMwR9uBjuL/UMru9j
X0m9OdpAw8hDUk2/iIRcCW+QalfVqbfWkK741mpu9OAmPkEwRRmdtEZGp5YJW+DmLgkmwin32btQ
YdCRMHhMxB88VTCfS5QNF0x0fqDDbrrVS63/weGH6TjF7JNl1N32PTkFNDk6V8IidLU03CFcfZUD
PRbNuO+KNcauLpxPfdlP/82XgTtgYfi/qu1WSzLMI37eXWhpGqggSh0Z5k53TkSWCVNBH8VFt34v
PvfflsjvO9T362FTgXUvBihryfrz9QyM7ac4y9Rx1BoyM+Icy/ARZUhEesy/X+kDfXy9EsaLOi41
cGN0RDE/X2npSfVlfpYfYdWSIMOAhFktMc+eGclPhAhb+zlJo8u/X/TDZv1+URyEYOSwmDB5Wf/7
3+oMHGXgbTLfPfaAeqt1ETS5VrC9h/20up7996vhS4IkErNE5xeXqdj3RlkWKYnxYrSzc9kUy47M
TH287XP/4d+v9dHHc/1qWCOt0j00Lauo5+evhjlgnhSZkMc6mXIzMBPYMiHCE0obtEybZE6m2x7C
zPXYZsOBVPRObWWLV/u/f45f7zA2V3QfIDU+f34EATim3LnomcnWmL0xympnzPrjKHrwHQUN9d8v
9usaAsxf583UcOhqPirZGqgoZtc46VHpy3JfeU0bdhpvsIKTnZDGvYatuKWfeb+57j99SdofbD0c
h25IfOiBsjgdZexg01OONXErA09zNHs0iKUk5/7fv+OHaxHSye+nLka5wS5IA/Hzc7WkBrqe+PIo
YcxAEZ1duiXRzFfxPJqP/36tD/vt+7Xwn+BWerQqQAw/XystOlgATEePZJ2Nelgxjzvl0hx+pz77
iBSt3wkaJX5YbDIsV+Pn62Co2TZONcljJOwhZV7IxH5D32pQcJr2p0TKAqdP6OdIl6BoRVu4DMlv
Wo4Pa2f9rqBUbHQ67kGO+Lh2oD9ksrY7PsOwWufrQw2jZ9Hic2TOxamKPQgjjjn/Zj9/v4V/b5+5
LC6TfHHMbjlDP7bPQ+wwP41c4pzx0f3cpE5xoqycb1RaJnuKtJLwBI34oXdfCjcgxXQejqNTTt91
J6+bVzX4xSmLSmjZQisIp4z4A4/M3xjm/NPntHkwGBtTHTB3+9AiZbYZjWAX2oHRl/NtnnurCYY6
h8gQ5Q4eaZR4yt3Mqea6zLnH7CwG0qQ2ZhlFxz6rrCu/8yNsND3zxtec1t05Q1KlJJj47rD/r6vW
Q75J5Q2bETbGx48q/BKqDSknx8InXwqdkTdlsAPabvvv1/n1TcQwk0fGnH/VY388G6VmcFO0Vh5p
rZd7Xy7EqJVZZV/lrWV/+vdrfdzOWZ5077iBcjrasFE/tqizh2GKhSfTsa4arOq8aAgFWZk47bnZ
DqZ0HGAIMV/p/eQSdFrGe0gD3W9u7Aoo8ib+vFw9E8GKYGLKg8bV4Oc3NW+UZvBmRAe3H5v56OYG
m2nnT6Y6xr1a7jXTEd/shFA2KXtSrmaVoNuWMmu8jcPQ6KqlVzv5fT/fEbLC4KAlC6MJapoCGRhZ
sZzzZA21krVxWXIzehsQCjxh9bKcl5yIb5JcGueTW4PdIBC2r4ZGsOG2tMwXu8+cT05CuGSHuOE6
Ka25D4WSq+8hwVhzHJn9JofSdVs0+Fjk0Sy+LRplXMvgZdn4Uxm9FZ5mq1OJAwiDxkFFuPDqVgsZ
MenBkRj6UCOQiSU2JT3eS+JH+iuZE+bj+N4vT9EATtxiOv6WD501hkWH8mHbemlyRp9TnCybrUVv
BvmNzM04rAh4eIvxnTSQqVA2QngQXoxFjA9iKRLH2o+WoBgq3an97rlEwJdp7T579dh4FwTxrDfe
/jjbZdU6W0RUot17RsveKdrefV5QUYQTauazu/5sC5UEaRpOUfTta6fpSnLq0KDOZ86Z/KmuZ7IU
19sb0UdvjTIR98oknuRULW6eHCM9dsyTIYrknBEzg+vykqRwOd93KwaTV023rPat+qR9LSvGVUEl
Jl0EOd5vWNkq7t1se7INGiESJnPS+tyTIon1VizKOzMjtRLBN79nTGRydjqEJ0g5SIUTOILgVNzM
MfHoZNtuLJtDAcWT+eiVA8oMDe+FU2Ea8ltO6uNObyrrBSKXlsOhafNmQ2Lvcm+PUMmCLmumOzHU
062crSEJiT6WX3OsOI8TqoInrMgsLEfXdViMVXTyGAYRH5NgBhguk04BoxfVsiuHnLXkFt1yjscZ
jXxE6zVv3uMVC1tjYLwU1Dl90qo5SPkC8CzJoyNoiAW2RRGjXhLM72Eze6xeO7OmuyZKJtytEzoG
BBUaQ+YVKn/Pfou1nCAWDwX4AhVuaqzpttLyetel8GmZc1RbwlUZMWpVcx93iTwKrymvoCdbQFK5
DB2jFWfdJDKxr4WD4b4dPcSdu62sVd/mlNl55mpBFNnubbG4+4wwzKAuo2kvZGo+e0j2NgpvbVHN
HUTr3gyFNi3Q+gwj0J2STLQJoQiOKtAYuKvGky+HWxmX8ynV/R1BR+YOtX51YmLDzE9DiZUVo7+p
C75WnnlNkGRZHs4DGTVGy0ils63nBlb3GQ3dbTN1cBYGcwqH2bPgIBnmzq7loxNheE0soHGFNj4Q
fWYHqivHfeYXIsgWhrzJIpzQV7iKSD+5tMn8zVfGi+qJWk018JXZscCeYXUdmTd/qVeVymYwVR7M
Ew43Ua+Mr4VpnRamW8B+8iZxCOXJLOdhGKKrqnTjL50ylm1C5NMpyQs2YGutkQpjvnGkaZ4RQ9X3
OlAg0JWdhcviXJNKNXtqYxUpQ+xs3UTi9gd5yOpAtGfKFDUaonozx2Z60pm46qSVxO51b+d8oCoH
bIJRaSyP9mKZu2nMMSkEnvGvOl2vbymUrCQcnZWa7or8sVFz/AgpcPw0Vzb1Q9UqL96oYZnPuA6Z
29VOfWdlHSa+hWyOE2DOMcETjotSRZOLJS6ePY4Xd5znrbn0/XY9f2xG0GrA64XsyLu2g3bn8qbl
R0QBlAJGRkhxM1OLrOndZVY6xFQLV7IVlSM4FQF6Gzf23YNKaX161h9+q3O58xcBm2wcIE0Snlzc
tqJ7cvOlDnWo7DcWTsNpEKOhTcPOyax0h2qguNJwk9yVaWbfiX4iQcvt489dGo9XZj+FnYzGUzr2
AlmhN/pfzXRi4GSXRgu4zz55LP0mOZk1dTtcbixDlqFgYabUDrQIuXafz427LebmS4kcbyeKbnju
rdJ76/ClmtEc6caDUdjuZzIX/WUvbKkhiQOnjqqeeqyc6oNaFv9m0mrnvsnhgpMWqAKtq90DHbR/
8CedmG2l980PhZfPVo3pfKo78+wWljj7UTNC8/H1a5iaJSVM6SLmy/37PKpJp4vMyKT5TxMLmKLR
HzSpgT50uX/ioSKKtPsl5BAmrrLUBut1WkR77yKcPU512YZeVRuh57AEnLREFhnF9n5kCLZzvG7A
V01ajxki4Lu4g/9TRHp6jIA0z9xBCZFmCOoh0veDbbOw/fLsAB8EUeEbd3Gd2wf4s+a1H6NrbYhe
/BTZtR4W3ljtcwEamC+t99J3fCU2mjoYWmj0hMBWjdwQlEcu8FAaSIYRpm5iHIGeSjGZN73wqlux
RJT9vlk5zHBxJ9/OGb6+qJ2HfJ9npftsZw4gTlXHV5Nme1VIPnZ+nAnL/dHRjl935tjfd5Y2eQz9
cIsJUIxwplv+2KzcP/uGjl3ts8J1aQD06pTrBAZDQSEHNC3yO+XY3a3H1PNg1m3iB9L3DgWA8pEB
BTisHnlXVT1F57Qvvb0VD8W3rISfvCWsov5M+FC9g1iRvfl2IaNAuYgeUBOCJaV58+S2RK/zq7dN
XUHQ9e3FgKYbLcOLgPSLGFZrySdQeF5wuAomW0lph4T89lfYO8lAVOhdwGO3WWG8jpqvQtkrkhFR
ILXbEkLTGYJ89c3FzPK0TFiueqRo3UFxXPazPUch1PbuThdD+y1tMvbsGr+NnE2gyeIuALGtM/uR
TGJyT18di15xQxbmlLwlGkLaTrZ5wovdlbRJnfZWOwkpl0wzb+Ro948khQ/frEZ6z3HvA9Sviu08
nMTiQS21ZxJkiwBEBHcsFOYnFA1+vC2c4fPc6fJGgG2HxGujM0/rVRswZnpAFYWkyJhd3NBqUA2o
IUe7yieTT9VNB6tMxdkaZR7mZBygHDLmuQjyvsc2kc0pwVs3raeDzpzlpDdozMMOn122s3mJPxFx
TUY2FLj+aPsTx4gOOsS6hPcaxO2iPcjcFwSAVjw3DoW9KRRWrIske5PeaOUf52GpFdyFxpNfiVFk
KYMoiXPiKqPcuOhLDo4wo6fZNswXzVDam4G46jryUH3a5ZIGesWvnazJf9RLAk2N3m6+RhC8KCdJ
kEbj8khhjPFc5KAgz+qLYz7FqCJwR2F7xauHRVXAQCjFRnjaxWXCuUnJAg+E6+0sKP2bpkSWa2Wi
2EwUJ6HrJslGL5t449Fjb0rTqtYJzLcsN5IywEzOQTwOSW924oOBzfeud8YfHWpgsoF8K6ih5e4y
fG2CrHBORlvYgU6GAAl0PZmERKXhF66FbsRyFumkX812se8X/WVZp91J1Xt7rFazTVHM+R5Dg+lT
7RgJo3gvPqfl8KYpiLz1UpQbZxiMkwTY3bagWSfZYP3oC+ABYyK2zlRNv1fJmtfd6f6GHp9Th0KI
HODKwgZC1rti7Npr0U3pdaYz6HRiqnkKrmCcJyfsxul2RPi3SazJOdgNAbSiGDxaExXmPTH2hPlE
d5PO0LTLU1JOu/ZH12iEpK9+brojV78F/2sza8WuwUMYzh7YwQK1GKuAe4TYL9KxdlWUQEPrSeor
2lOh1c9jsdz2WXTqKudRNdGZLRfAKJcwj5vlLa3jJyakF9co94pqOijT/MUXctwvGSCl2/nfdFu0
wQLvNPQ13X6sctlsRWV8m3ydwkqL2eQT45g7EPQgt5HZqND4uMzPY+e1GHBDNwpQbaS8dATx2Pef
F3N5nQZ5dNIeWZebyxHe2hx/FsQnYK3aeEQrNwoTDwJFZSXNvb5sh5rA0WFqD3iOXNv1I2nkPdK7
2t8mrfzkEs51cEc/C5p66L9oRuNtpxEp40APc933jXZAt7O+5rM42aZ0vxDBXkLZrh0vbJOxOcra
AR5lvE074frJtK9GnRKasZPFUNxZrrvB1ppdUkwXGxPJ78KBn37S4MTOqC381hN7YzBG8wp9yWob
XiPpucuNZv19Rp2lLzOg8whwgRrzGGNz5CNwyRBYgGpaKZSBNNd3ehsn1SajHjq4Zu9qN13fuTJs
tSqF0ukDmjrtSMv5HmTeG9GzF2ck1BNazurGFK7Y4L1DI0JyRJ6QPVHRFsUse+IT2V7AmdaZxlz1
0fN77kwEnXNXrh70qVymm5oz7smro/mswUMN8OEg0mauHXGTarYcttjgL/dkT7ItEXlqwqtauxNd
TsOPdDHG29SZ9Wuhk3qvx0yLk2yMnuNCA+SOLVe/6K3dbR18TRV4F9LTqhod+9wlw9ry+h0008RW
7WdSnygdco1gMLLnmyO1Pb8aKoKGBQQNOgIIRKyuTni7gJHz1ckLI5QN5R/MVXVnN/iy6EN5LBWC
goUj/2hkRIrI1iTnOrEBBVqafK93wQjWSc379QZladsZbdYxckxmNlk+7LGSLr68/xXfK4yLcGj7
KxdTMIayy8EwM/XSFh092NQYoASeSbrlQtmj0Wwy61lKB2I2NxPjKjIWk67evQPFKp8Yo0wYv/UZ
uHFeSAVJQhJRrPl8RMabDNoX4uqdwm4/V7LjC8iU38g+sqB77fGWlbn+pegFT73McE6KsNY9NnY5
3WUT9e6iJYLA5J6EAjXP2CIKvpdVgIUrm7avHhJVBfac1ntKNXr7vs/dJhyyla0nF1ARwEs2g16n
OxG4JpBQYxOHFYmiYP2LRbv2q1hh467JvSDJE8eT5cpvmtbAFsPvgGRq5DDEZC/VrsvG0brO607c
2EiurqqUuPF2sQGvIgIQ3tedJstlh7G+RvmPQQMa/OU+6VqHNmnS1s+XqOhNQ54BKEKbdZ/36z3J
e6ZsOv/Is5pgBgzcNkDKwNLVciZauNyj48e0vy+XsztH4+271VxVyQXCLSugswS/2x/WX5inzqfY
wEHMT2DiqRwFXecqrPlKV3wpBD+Cxqc5uuX6X6uOu6U7cGsC3XTn88Av2iKh9G3m0xrOZLoNayXr
YHrjA78mzlNe6y44K/YFNPy6ZkRvC3qBqyFlNZkLvzSdtOoFKLE0cZswhscOkvm1r4/RaUii6iVK
BDQ41KRqoyW8wpbZM5scu+gUKb16ydwW2WU9kTY/t0Mu0OXkkX6hOeAbloiwYbPEcUYFjDpo75fS
uKZvaT53/np7C5Fnp77iNg1tZVxImMW5Zn1hjTZLvhdLoV5qT3LpqW+HU97N0bEDci02vae1L8sc
B7EAketqfs5vZHbF5vuth4YZJLqk9ejUayk8P/AZ5u3bAZqWwPB833URL/vEGxj1sw9iUfpwuIZu
G1fOfDaBwM+qwGa5GVGLY0e/6FcksOu3pelEJxs7N7np6HzssGQ73AvTBvxgLOqF9roKRgU0Zysb
SAEDRIjIHvLZzUj+xslxF/EtFql6YRSpVUiZFe901dhRWNGd7hAtRM9QZss9bhjaw0JD8OZGii/s
d+sabATEZtdW0QkZZwFFEwcKxBgIAlzPpe3zCGT+AeHMtAMajOnLe8j0NHhMoVoK8gYoFafdhLKC
k1GlmNy0Q3kDH6t/kGL0vqvBit5kNaHPt5N8JjWLk8mSuPDOtktGMwZAzXHwCR1LHXt1lcW8JQrd
CoA7zAmfn/+En/+P6PAbooNBGADDm/+d6HB+of77KCP684f+khHZK5nBFcwGMObGZp3B1v/3iHD9
Pxhv2Lg9wB2G5QDo/xfNwf/DZbLoUdmuJsiGgG3xl0WE+8c6Z9WhTLiWCzxu/heawzpV+wljX8NG
KC8IqyKQ0Pk44StFnyJ+yZaDG+v2wgjMKq9JxpofC3Sy0GNt+zej91/GfNjDAeaD9vPJ6XM/gPrg
Bgmidmc+TBPGwUIbhsBxRvmb6cEvQz6+0spZgPLo4C/5ccDW2S24q51M0MFreFjGVN9nVQOXAF3g
VmhjvtFbwgIwY9Iu7ehOj39bA//EZIBr8vG+Yt9hrDM+z+AZ/zJl7Ge2y9ntsOly8gkALVl2ucuZ
PECgvZ6Q4Jwm8s7bPYnywGAKlGVFMSSesy372CeAID3eVLRr2I8nknJJt3IKijFD0JLxd3NonUVg
5toybCaVclDaUcsmSXj5/FYTtnYxUw8kcMJVNLFsdljXqYFs7PpLJOt5v44PEHzFOg5HVW3CdWN2
uBxEPekPjmmom4YW+IGeZ7rrzD46jU6rXryikCJAmzu/YWvHgY0r0lPe4xHQplN5Hemwm5tIenow
VkaJs5cgSETO6hm2Cj84TtK/btnvoT060cUfQLXDoVWiOnKrSujYkEJ0RBCWZe4Nhjfs5m5rYOEg
jYe5mtldpyq5tcm4x+Dex6eH0yDfKFc291U+oGodXPw/0s6loXLIWFzMSWLpXowhxI7mlCHouKde
i05L7057p9bzY01g41Y3u+EppRF7qtPF+cTTwQsJbsa2NAB8e2eqX2c8qYLYxTdWjuX8SARw9Qw5
mCdT41x5cEafd2jkYDO70r92cK041HUyv429mh9Fw4/Momk/O0TdX0dTbB3ruNMfekCqz2k3ltcr
e/+6KLCFDf20xtLMKkZcmpx+EYQ552rbKoRqYzkYWyC17KKcxN/0jEkCPPiaVyviH+MMUlMQp6Q4
HACf2k1p9TUqb15nT+vmvSP7/Ij1l7qZXTWiPU3pEFqTqGzEyBBTVOsxYFsAkF3Aq72mR9klJgwV
sC6pb2BdrLrcePiRCfSuZdetKQRCsGno1Vc51cMTwTHL2a8HfpWZzHuFscdGn/jG/qipmyhbX3at
tm+1WAwgjnwXx0p9ZnpJgXAsYykOSTn8YDo+7zFEsm5jiycREcO5sUo1hwXtY8EB13NfM8pPUEo7
QPGbAtZOlJCMeKPo4oiofoUzuZzLMZkfDSxJ9yCrGXYZdbYDi+u+i9TRH/AxGEOoVvQqGve2jXmO
ab/e6nWJ5iU9zYwbyW7JZgODwoUnYSEQ21s66x8VsXrOYzc65W32PGptzyCxKW5j743Gm/JLagUa
kDYqjGPS2l8F8MPqo9I/xQZrc2Vgy70haAEsK/9qRe4AdugqZvE2i3ItiaaEB+W4WrdDmahuFQOC
W78b7dt+jvSHUrbqubed6qsGrLRdEGftGiOqvpqFjdjG1OxPk7cOALSUussrx+olpjQhMNWcNWo0
fOLev5yX8BLgR6ddplmVXTjJdDmTd9F+BvrMLnPFgHNDrEUO5qtHJzzwCmR1Qh66ynARFUST3NuT
hByQO4LHVGS9uw6x6i86wsLrVMyuuXUMs77pHCP2jM9e5uuZ8zxU5di9yqa3nqVeFll8GMylRIHZ
LVq5RRI79ue5HiP7NMZmb13MDCAA4dj8qHv0M5XTY/Om2xMBrPXi7FiHNpAJzECmD1PH1tSXN33F
nKBjhZ0sLbvrRKvd4+R10ez+xipUscMHwL5faJo2NpKlm8aOwZCjGwATxk6kJRxiY0mOhZE9tlCt
tgjr+21vzd8QgvRba+i/Z4lRHPFOfIWikByThWSdUu/VdYWSf5vbwwS0GnffdYSP21i2V1NXRztc
TfTTtEC21cH9g9y1Y+LgYnljLRZtt6+GOWjokJzUO2mZqkOZ1+WyUX5UH6EIYHCiTeBheFluCpnh
Y1Hk+VusFmZXpDGA3bfWHPhWeZlLV26NQvOv0iRWZ8JOxp2T8MLWaaFfyZnE795HzLDMPEhDH8RR
AOEfCpeuRnWmh0+dZgTAj7yW2CzuE4Gg1tAKcTXa0j/0sf7JLCKfVsptr/XSN/Otwb1/bdU4OoGN
wTcZsDjfIHDKUSQaSsLE0EcGthF4TAtSVxqiJw3X10FYfQcYOXLqcI7aV7Ma+31sx5x5HODebsDr
cZMYROSmpVNf4CrqG73L2h35lwlq/kyj7/Cmrx6UHkSTyE7LKcYiL8+yZ1+LKhftnzPvGRaCM7kO
bR0cCHL6BsukQjTre6ozYMveNt0jiQ2GCGc2kQRXUmW0G8V7dbbyVl0xV11wfRLGkfQ5PA2ThLeq
3dJY1ZsS6/oNaLJ9Uk4zPS6jiZlBygyDOJ/DmIfmoFUAwc7yonJhH425WB5UqqoYVwv/MC22fyz6
aL6TmbmEQ9TXpwxzmcAx8oLlng2bfMQVtsU88d5tCeuoojW/LW5GLAqVt6u1gbSadWQ94iQZWr6Z
fnEdRN2emEf8ieZh0/uDtsNWqAKWQzqla5zltBtHKU1AbTJow1iL/afci/V9LlnxjlklR2+YcFsY
I+tckaHA8GTULpANUEbXy3xaSaI5U3I/YdTvNMUPK65vCHJ3r/2pM5ChjSOQb24bNuO3JDurdtGP
ityaGvMrp7nKl8h87jF6sDauPWKgY4w4hSQzU70g1VPxQxVFkeO8VTpTKFIxHBd8ZgJVaM2+13P7
ecx7ycA8k+m1hcXpa2GmDiPo1hrIMtKxALWf/UGIw5hkeFjiwQIwp01ltnMTe/hWpXoVdPm41gWq
vp+mLg+deiirrTcU8gorJRKQo5ksIZZfkRxJIm+u/bqtrKDBHQOPr8qWhwnXojZIZWXfzkYkD0tS
qm+Gojdmxjhn67Oh8VtLpDQ1OYdWlkJqt+W1bzBM90rVffcYIiq8hjAj34ms5cAhR3l+w5EcuGHW
ootikso7AP3i2o0EWvvYXtvNBBVbDZP4dpFSu2i4ffJ1pZnseiwrvDAmUycoKPISLM8m9W1SPTlB
CbF1N/rC6UzANMY878VXLQ39IdXn9rtK3dQLDTvh++lIb9ACz7OxpQx1Pk3YbLSbtWAstwbmNmGa
GPkRnlZ5nTfLcrBECxelGtmMmxQNSqEYm4SJ3XK4ox7ULmXs90/SMOPbuKDSKJEd3cTL+6fw6y8m
XkByg9ftuilDbHhDiuIxVHcpT/y61u/YBsvvpnLwE9fgs3Fqw/FxYjaiTdHwcRjTz/tE1/qnRAJq
YFqqeSUYezPv48LBFWCAR5L0wxjGMWd5RbH1DORcBO28lr++Uz273ZQfGceIDRb5RFgW0/zmzUoi
6ogqaDHSB/Ac4WDMuCYwLFdmfswwDfkdDe6feoiVIEi/5ELY+yhMYuCRVXGsdSh2jfoUEYaxlsNu
GdRp3dwzoqa8N2svHHgwX9u58bAVLrnZfWf/rqHR17bs5z7xz08CYQNAC7eGn7lYfWVivZvW3cGS
VP6Bs/T2ret0xjbuAKjwamBI5HNn0fdMd25MgHXa2uYB7PVrHJUszBIDqNYc5qtyVPWXvres20Ea
0+NIxb379+7rl8SHNRvFQzgAy5OcS2zCf/6w+OBn7qCZ7UGTK42hBYWdFS+a0FNMnnpWHUcRC0wf
WPFZ15Lfzjm1TtKrl1RRN7tMPH9D+XxvOX++g7gbQfxeP5QLsf5D4xv3NWtExu2hKEymiaS/RchY
+/p6GbVh3zR9ErI1L9vZhAcFJYQKKlU0r26yvqZkZ17S0apPhNPDcIrs6jsuOu6958Rq63f1coi0
BmeNurN/l3OJLu2Xhw9b3gO8oKk21xiun++njReIyuexOUw1ZxpWTSrd1oU/7yroK9xLMq79xHTf
YGEOB1iX8U7TjRfi7j+PZWwS20W5pNljHPaqqM5DY1jPg1LlGc1mdiVEYX41SM2dzsR1lsNVkyQe
ELyehcICdZUA2PuCrQQx8P9j7zy68za2Nf1X7uo5vJAKodftHnw5kSIpJnGCRVkSciqkQv36fkDb
fWTqXGl5fma2ZRFEqKq93/2GVHwwraTZ4r1DvVqU4YUCkvGFcuYzSYAT0giSsOtlh0FiZ9yNMQwz
A8QMsl1sipVduS5mgB17rOdC/++mGjr+wAYGwkrNTrNMXxLn/E8aTUiF/qtkJ36r1VWl29uqaJc9
JVzK9pyCHttFbIVwM/zoMgvY2ipqrnOs6y/ZwFhlhH63jsdkfFzIveTVC7vAEwHu4KkvtI/vUTTF
PKQUYoihul5tRYwwcj00TlQYB8fBZEyuBRkJ+MwumkH7sY5ci2Gh0+RH39NFfMS/Kt1EevkPEQV9
tDE7ZDfrKPWwpyNhNLDPoel2X4jNVQ2nMTW9NJOsgrOQcMdxFeIcxyacrApFKe/DolsZM0U+7bR5
oPtmiw3c7snMaDWB1MW6E5C/1mUIxK4kjVuQuM3nORvynUz7dD+MVFdmPvFFMsHoN0nlDY99Wrz4
kv4RYlvzKZgKrCDkvPBtlmcX5hBBTlovaR4iMe5kZjtHi4PjNnfGdB+RjFutcaUrjj1si1cF++zV
nfF77+3Ctlcs23zn9IG8oRMNLnNrYrM20fR7RdU9VbDjnjCBwsBfsRv1S29XYaC3TuDZTEjGC8WU
sZiGnaXj8ii7jK6l8p0VtZN/WzpyeDQtKI1g8vWr6JD1wV6fz41F97yRleYE6Gurw6wKQKltiwah
WYqxSOSym/RRRbRN0NMZRa7b++taaNZIB8XBWimLP8R0v/29rhRPpdSQCOkOVyJ19YFEsvbUNi2o
HAaQ4UqFyxGaIOXcidkHACrt9nma/eBiTcAsWK2Fl9hq5CnF5OHixTw4yQG6r9Dzr+ugGh8DrGfx
cpnTfbAgQNgVNtdlDj7kp7TJAemr35g6xnqbBrr5lHvlzaj85jPzR9ptU8QolFzIhVOyWBbzQytj
KZyX31q5C5crIIpTrmsSlC6zM6E8WZaqWvZ3M8+nDeyF5kW0atgpWWbYwZiTvR3GFGRkaV4xbqGB
T5Tb3pqV5M3UGaXI21ncVHGF3jO28cshnxMSiJzAdRxmoQCr3F3hz2cdMzJQI+ja22fI8IRCIq5a
86AGY75yYxAPp5vb2zfEp3L4fAglwP/eAjnBp744FpWVHvDehMQReMFliPAhe4MHjNjgMbgtnS2A
I49+AfJ0Gsy7HO7+ekqSb9jszlea5VatFU720WpSYGFBDHplNiq/axtXYUnImII+hZJsqJldtsMI
OFf1vOJ4wiVTae7IJJ0QEEezBImnA4LDSgL4LzchHQ4QATBGA84AuJu2VcmKiVUpPti5t0gXTFMC
fI0d3DQJIqjdvH3WONYV2E9P7e9xBuIC321+qNBarSJbFkdjAVeg87Gt0dEzGV2QmmVEvngoVPCV
dMpPKpGS7lrNFudYXP4Nv3k7JFUOdlvViQux0fhqmnopl32D11eUFEttR1TlH58mlJodhqPFsaqt
6M60iurS1Ha+aYUbXKA5tM+1BYbG+BtMjSDk6jKVzhKaQKfFdKlnczfs7ktdEE6sYoodabbhZfLZ
Z+sp4REmAomCWTm8kDzHnLejfdp2HuV5z4ztsnzPrVy24S6qO3jzBYhkmPrUvLnkr3OIkm+BIPA+
WVBv6pLlFKBBe7ECPglXD92XoWUQl1hR/MGHgA75d/l+cpcGgJ1oVXjcTrSgX2/lbUDsxi7Oq/yu
xKF1t9ASNx6mKfdvZ4PVAwHDPkk++Gz54E6AqCM26x/8NwOmcAqDSxtShrRzbt/Dfx/XYckQy0Nu
cHRph9eJl1n3jYelSjrwIkMA4uNcmNVFEydwETZFbLm8g4Ty8FPXkXe6k4jLN+VksZvBG3ucJ8rk
JgefM+vCvofKz2bLPvZcd0HzCX0cY1qimtZvkODYA1oGNiOvuEomppWUnx27SbOmzcl3i/Bh19aK
4qSn2SlZ2PvecUBB64JFMZtj/YLlIAD1BGbspBGtQk/h7HjttLEBl7cc9nw8b9us8nkaIEfwvGs3
fqKrn+EO2ksICuQ1UCjpwGIGtHlofKp2A/vVGYLfyMM02d6SkXWUQ0l7Mr2xocdz+NYMQh7UBF5m
F6pMjxUOlaepKQARl63SMXkoyIvzDzqw0Sh7qQD1gr7rtCHnQwJkwpqUoNNVz7zXJ3T53mn94au/
cJd7fnUYttjcQ9ajCWF63HzGDYaSoyW54ZhVLLK0SZMPEM9fxlHw1BC4OEdMXlkqY84zwNiCbmic
2meqksxd4WsP+7Iw65C6ZRDpNXNlNtkJUsljXUdUkPM4b8aBFz4Hub7KbSD1t399W5hzmXHEGHA+
fxcTZypaU/dY6V7dKNuYd2WSIaqeahZ0SlUZ+4JNhtSm+IPb+ITVaZHqq8bTdGSTP+9Ijv82uLr2
YNrQwL4BxQuV0LXpTKelCpgJK8Cj1tbDHiCBO0bSXWTTYQjcT/CGkIkvk5geQGU7CMatqxxO1qmP
+j8TY/8zqvzFqNIh253C/H8eVT597fr/ekxlnFbp6/e2h3/+zb/mlUQ12SiZMDhD3ei4Dj/0z3ll
YP+GdjVkaof68E93wz8Hlq75m8caYYxJb8gZvFgS/mtgidjNY+7nUWmSwxf+o4Fl8F4KRQflo2kV
uC0hO3Xe1GPf6Wjj2Z2KKosTjM384UxlIzAFspvujHbO3RQugqxVPjjWXWcZBA/FdM2pSjeFaU2H
PJFGtgWF93eyD+VHQsUBw50ifEyDvtgnoUHYUjqE9blW8GgHYupyjHMScYQjSy7OkC2W1cJY7KlD
gmPFys2FtxnDGd/gplQHPEhPVZAP0C/mGFNj+g74lV0YsbjkEmCRPYfT9Gh1BU4eLhO7B92PmGBP
xYzpu2HCEc2G23iqLbh6VYr/edVNkDCNYlxrIyK4Ym5TeGjaajgAkbM12LGnUZN1lE4sN+m09ZWe
5mqlOsd80lKODAPM+T5q5sUslxAeO+zwTgv1cudFlXdAxF66Sa0MUrYvxmqVTHP5MU6E2NlLz5B1
/LFvthh6W+lDjehsFUPevgrceQdjtl8brVlvYqTi8apL3f5jDn50E9WWc0scMVbtUKpci15x4I6L
wNAbHPyhTgK+bu0GCqc3t8WG3zmnPuvdtVuHJB8Zvr+KlPM0IAg/WGly8d3Z3ltDwoRFjz1mb6hn
Nv6YYAEkJhcyY6zdS09QNvYcldfjmqX7VVT2BxQ9/YPbzRlecam2tsZoyzWOZDj5y64SvA8xXNj1
KRPMTyRaocfmXrZ51D9GFVRBWNsPc07eU4it9ItcuPMUtj7pnEGywbhpG1u92BRZHN/BJ3SqzejX
xVWQldjZVWSN8JTLxF/R+nr4wXbeTe4Y0cZI/PFTJCP7dsbWi8bPU5dZN197kLEZPxftbaM2jW/0
lHUnFRJjkpHWBUqkLgVeMCtiQEB6KiO6ZXj5HHd1tRYYyh/BVKP4PPVmMd6qMK7bVwlB/sWc2uFb
mo3WrVc2cP3i1vmYM3zbkC8zXLB2bznmx5JHNjWlvELL8TIpd7g28Bvc2pP51a3KF3xxahIYRNUe
oWohcANe+TDjctBtwNcCmIjJcK+NoV5nY1RsvTYq8H4ph4GUVbD1bBd5WGCvi2qaXhKYYSYTEMRa
285oO7XKM2lRsgI0Cr/HxRQ/E/MWwSr2jGZiXpo2xABaWXN0Ozb2zSSsT7ojqkASIAntYit9s2wO
oZc28L/8pJV7fNbsvRnb3hOMSHJkm6+mDcAOTZkZn0SifxDFiGFOUrjNihN6cZH0bGAG9g5+AqbL
Tpdcd21KSkA44fIOm5aPGR+G9RCT4nLVEXwV74MIC8P1IJtPZWo0w53sZ59fCSWfMUQ3zKHqFXPH
5moenXHTjZ6CXRTuZ9dJjnmuR/JwtB2UYDpWyaBumDOaHDPLEcg3+IUrsxZXQGnR1l/AeKwgrG3b
9BN2iYaxsRoveHJlOQvmtufK9I1D3HfJHgVXvIo8LJ7FAvyjTSU/ws1oiFSRP6tlQFBm7XQOGMm4
VV9CQFiGCcEyV4DyK26TulwS6Jg6eNPS44+5u87asj1ly3SiHoZmP7qLvsUq46tppG1cD5nW9+0y
2hD04lfK7I1HMJ9kKHBTy+NNyQClwD+nhpZrOOUua87erJiJQouuIQ7S/jBcEcuYpRBmfQWzlPRk
wSRa4ny3zGTE23wm98aAnUq2t04oHdzqGeR4HqBDInC3Wc+Nht3wNvMJl/GPzsJh5Sp/OjPDA/qX
4wtCMFIw3yZHwg/lzl7GSUqP14WO5294mlLwjb6/AyYHcwXuwheSoZS7TKc8nD7yVYIoZ8McaDhG
EMrX1GPygqn1CweLt5v6YjyAFjH4KqKaIVj/NhCDO9H/br+NySD2dBfYmOFuZIgWE097cJa5WrpM
2GSF63ThM/xPtDygpCJAiwN2S+wZbMNlQmfLilndMrWLCJU6epOrtlhAmGevB7TmxA7ouUz7MvhW
eIa/mG6VXdxFnsZkrov9/dTAVUblmH4b0nmoV4AILkA9e+9kkWgWonQ4tphR4YHGYGtjKudGMiZB
Go5mAUHYfJUs88rUVME6LzBgwiQ23Ag7tU7wbQikGNqzKst2a2rEpKIm6yImSmBLkF2DOAaehl7m
pVKHnzH6KY+xkF9adKjbIZ8+l6U7bE1rZt46cNxYkgkULv+HAdAIH7DgGgHMXd9VDtkLKB2CYRS3
+N9Chze663jO7oZlzjsl2Y3iuZ5wn7VZjcV17L85YOQMiFUaM6qjT/Z2QncSKC+MGTeMQ79G8Dg/
AO3Nqwn9gXtHokfsnTReRoyjOzOutzYnJ+zqVCEw7E1npqF0aT/MrVcF2twmEcDYR2gyofE8dbaa
yVvxA42BFqaA5oh6COfj3CoKd+ujpZsPFOYfhY+RxEYTxuCsurxwr8fcknxWYPFkAGYIUkwUJF/n
2lLQiAfdfrBr20g2TSb1k9MM6qlE/3ry+8w6D8iu9i2Z4AhqSl+B1cz5eIK5PLH1Ez25U2PSHwii
0VurZMcMcsN7nTP0btRz2Qnxx+CsYG+Vd4EecPEzsarB7nPLUGCCexTEX1p7MPa0fuKmm4N2NwUt
rqqyz4AJKrbXvAUjIFAhV7vEjONHglsa3OBwVZBNjpFUCJEBo2XtoirHmJcJ2oAfHqcbHnO12zhn
SUZdsu3hzSPNsnGcoXfKRnMnOs62VQC5IFt3PlErSzbNaSYzOt7ooBuHo5nMw5mgR+NotK1H4Rch
1lzhOBN+sIThQRvodZvuCH7B4DkItdwkuLBv8rg1P3Uiw5RWZWZ2GySyvcvCbOrIZUT1BDAh9l0a
qZ0MELUi+KQlbHNFn2sywmdeIOf+iYwS0uU6iL5lFiwO2Lx80JeUgLdO7J2eiS7U6n4g76eaEJvk
qLO62hkPMTYb4xK3E28dIoeu3dnLFtDZbwkRx5n86Kau+QReizSoIdl+HQ8OgfbN7FYjn0tvrlPZ
989s3nrr8JAw1LY+u36OBtonTX3FG43aVQFrR0H8yDE47gccb+Qg7HWPpSGwsJfgCdyCHANnJCg9
RXLViKnZhVPZXyZ48kcvCdAXV04gbpE5DwyiRYWSBjvSLcmLzikYuhbuKUL4LyoKkpeQmvvBnj3/
HLlAwKieRv/SmZRmmyi24vAKgb6zRlz13Jc06nOUxyCuwt3BaIvhxgvzKN9CabBu9D45IEfETwaN
PKSOzz5Q2OFV8ZZpY0TxmtbSemU/TU/pZFhbXJC95/EtFSd/S8gx2pS0HKBW5A89ETrzEqZD2JGz
FR567xoAcguMExIBx6hCqHE8A89P1/MSzoPGnWTQalIEdhDdgz4meYWZQp6PXdfuznpL+WlAXret
TfRPibcIgh/igAyPYCB7JCIIUENdmiU2KMB++WMzLVlC7OcZrt0EDBEQUDzDfSN1CEp+iPt1DLF4
CSViztvufL7Xs7lEFsGNnwglRNFnawKNDC0MjPOgNEL1sKj9CT4SIhpQryxpSPkSjDQtEUlZYRCW
ZFKLN2Ex3deycHaGKbeIhzLU08QsEW4xXme4T5zZJEZ8ARMWiz/aFCzsfE4u03VitA26v8zDmh1l
+jof53ZVlx1rXbrZuUmpUYrSbCmg+uL3BEQSZJlUym3aDt63sa+nLx4ioGDdFKG6Gm1bodWWbv3H
9O8//f8v+n+bIoBB5//c/1+lvydp/Fp93/r/+Zf+smSzf4Ms+32e3f9v/UPzNxfuZShcTGRM4dLE
/8VVdoPfyGKG7ApkgKTwzbnnz9afzAMimk34vu5fSQn/979/V/87/lrf/DEb7d79+/ehcRbM6+a7
Eaod4LkOIEFuPGYorvnetgtxAwSqorPOFdtBj6QX0b46SLHMiODSezBZk7msL1luGdNDqshkYXiY
ILDqwka8+imKXwtmT+aQACJItJ0lFMmCjze2FwcHqAXsQpyf8HK/e9J/3sr3v/oycf7bb+7yCwc8
WjMgif0Hw7Ggo3qJpCbMhvn4nZVgMC+Ib7mwKZoAe3NU/MK5yQneuacsRkqmxeIX4OeLUdQ77yYj
LZyGViwmVTS8oFcxsjW5B9bi2g5FB1Jpa7QHS5rwRSb8a+lp3NHHg9Qbxmgn4sSqj1gFMUPRo89T
qbxo0Hu799RNUKVw+moM526SBS8vbKvXezeq6nPWWZGE6lZRQlt5JL1VK/E3WRPBCuMmnuhBzoY3
qjsE9zBMLC1e+6oBsMnagEuFSTTGdHJRVm4mESE+mjyjC9Yeb6Rdl303DLuIIB9MJGAESzrfdj05
hXiVDhzP2TVCudV9Y13LgLDttR+nROwyPJvirbX85mbiFhAGk9i+tywjxa3B77i3TkICMZJZ3cTe
xK+h7DRQHKV288kep1wDuttt8kElJb8RRnHOcV5qgAcJxVynq9aARmBTPXRnu3Z9+1rnSNxpUWav
ebYB45NTLzu+vxjV2dqwAVnutKwA3B1qhKeGnt54ceyeJ5d2eKlBIqtVfZQNdOv1SKC4XkceE/VV
0Yz8aTNgeLAlKAvCtNItQ1zDzLJkGX52uMPKauH6wIGjnc0r8YqpSPQ4zF74OA7IrDHCppTctKl3
m3jQj9dm1/KQ8NLgLXhu33fPCSzj5uBqtF5bnqMzrEW6SG1SjEBgDQvYBh9nXfNaR1vY1jnGKCU5
6eWV+MvDCbFq5f01Tn0OW2O2IDD2Bkmt4zhdJXiI3BqBCWkvUyzehWETMDYlumrboWpligI9lHgi
z5/8TY0X3xZubEx4Y0vzZk9qvod10l8bqKZ9Uu0iJpIUkZBbs15czXPsPRqjb11PY1PckLpFUDnN
wQEPEzdYp3blv1ZxPj41dNiKgS+fbDLBWBnRiQbrJJt44mURIU23lSeYx6MDfTS8tutvbTyXSF4a
fT6bUfo83iktPfkBpa9wdp2IyVNflwPFr4auESQaK3i+SGTypeLdpZQw07c5m4dmqWbK7BseSuou
LU0GUN4SAFLHfCMdpcKwTqjg7uH583qKHFeHlUFsnQfzThclVF8s3nkyLC4EZSzKHL/laNeZmFQ8
Y86i7pBGsBCIV+IBp3Zje/ucOcJZwGYlQ1l18hCPGTPzLLLVDUbF7YGed1YXpxp49D4ZMeUWOSlR
zxarjQQMlfFc/HAhWQ0CT1vkVra8z7U2jEdjIE/yQrVuyJtZwRMkyI88mAddTnP4QOVa5ncROU0H
OBuyXWOy5hw1irtxpeeSZ0npyrNU5sTYLwwXF/fGLOUhKgJ0Ey67SnJqWqQe67cPOcdoXe1qeI5y
443Louglg6OVmqBMsJnX9n06GLDgsX5MvGdVBIP9IYsY7jGMtd7yxiYLe5WACjtYdJeYzMSZOvhR
LLMXaUkIGSsxQNp1oqDPnyQ7hJVAcyYn70NdVpUXrFRsROHWL2IDk/7c4ifBnMlOGAjxzvtCWtcZ
unX1FFB251+FX9k2GdAz4Yvb0qTu+VBy/mjKxwFOxTGqQH8oK2sQ9GNik+VMRp1P6oqRxia0es18
L42D6wovu2d61Ghda+ujP8aKHMuyHh4QRhhbWEwJ+q+mWzsD0DiIdoTmAS/zVZliom051iw2iV+K
A0nQ3oR8ImuN9ClO3AEr/0Z4FYmGzYwtTUF12QA6PHZYK6yd0nwxqhGdHY47NHVEp6fJpIKDldvx
56KL/K8qdiJoz7L60BfeBauudt7mhVS3Xu3HL8IZq23JIbWBeencIS2uXiziZXZ2ZRJY4ms6JRM1
5U2I1fLab+geMcrJi6u0iYsHO+t80KuuR9Daq5UxKpK6JBSFsZyaD2Ohy4uAiL0dmOTfsq0TjRIO
ycfRLW4m31TZXradu2vnViGurqv9iJT8Y9x5xcNUul3MEKCChMkBhodDqxGyh/kOTQ9eV+2EG17h
+2x7o1Pfc+g0z5Uom2ST6a7aBalZPyUeam6Lowc02xNkuHs+2trGg0wbpyNJ2pHffUslUtECvtvB
1lm8m2CsXIu4891NgnvCDLWScmCzaIzPbVfW+6BoQZSywqmPfqLsXSys2yyqm72pkmEjucdnBtYN
DvL26B0rtADjdmYSct32bvQxbBJvb3Q63wm04msjM3Swm2fPuzaSviUrR8wHs6rmI31SeNRIczE2
knLdQy9at4CP8BE6735MR/3FNIvsjD8cqRmVDIvNz0uiH4o5RHG0akBQuPw5kB7+Tipr69IhDI1x
surp6kiRwbhhcjiEXIPhPkTf+ow5kDz8/Krv5GdURb4vBF4QiyzMxyfo71clLSDxk0mEp5YR7ScU
IGwMTW9TY/z8Ou+GVG/XYQjmUS7byPfeu3TiN+gNXUgb5+ZLheGbkj17YfkIFbFh/POL+aYJMZMC
Gcngu0dpsYaNmCLwFBTkItULG2Nxt10bTLK2P7/Uj4UsUkGIQtTiJmYb7z2BWwyVGkOZ3slB6H9d
LVN+MUGm6jDWOXcEdP3iK/k318NZEateC+Ek0rh3VpBWULNsi1KcNJlCj38cQZjFcWKIqqMa6dKZ
x/vze1we19+LdW5ucVlk+snLe99mMDJ0mQ327gkODdWVD7MlpSyJOIErtah9XQRyztooR/7ZNDKO
j5//Aj9+pIEgGxvjRRpuW7wP0KkrtzXB6b0TCKg8TBNEAWVN9a/CIX68TcEkFYYsWY6oMd99NUVk
T1WEC+8J+xJ5mJka7/2ARIt/fi+wIQIhIOKy8N5dxesBk4XBvUCaDzYeqAbgDmD9z6/ybz4TgZE4
ilK6nUVe+vdlnTOZgF5Ri5MNqr3HbYGPYpwRdm7nqLeu+0aN+hct3Y/7F3s6uwm35Tr807sbwzMn
mqfCc08GoQzPFlSekzZHSpGhIOurgkFlr3Cl5xP5+a3+uLMQG7UM57nb8MdMlxAyIO5WwkbNyOqO
CAg+90xENjqDs/bzS/2bW+TjIFOJGtyn5bf//lR9lEpcqrTh2ywMj9Kqz7rrkb25fDD50sGp5av5
+UX/3f3hWh1AMBAe4ud3Fx1hATpJ6FknEr7koSpd51iYQbKn0fnlSn/jCvx9qS/xiaj/XT/0gx9X
WhKA6LKfnLTsgJkzqxSYBWBpd4d5nSQ6tUBlFs2UyWqirpuotbrrsUURs3Mh5dJc1OIVYmL3xYIY
Q9WpqyK5CXKvKX7xWH78wiFPkPQI+c/28Cxf9ozvWA9VKqYUGQhfeOlwoTSC1LU4RnQrRrF8allI
Wf/zN2H9uA+FGJxQVzohSubgvZ92XICXRJxxJyMwqHVV4NA/9GhkvmDrzZGJJ8fyvWepdd0ORfsJ
YpO2Nk4aqru2s9ti38bMKnAjgyPYw9dN/vGqD5GvgAaxGHh371XeJu5oGGew6ksdUHSbInuxYsM5
dYVTpTClzF/BOD98m54Du2UxOLf5RBHb/f0ltDiQUfTP+oQ9g/vawYnOVnNb8Zmqhm7854//310s
AOUyAWjYat6fAoEm5SBuw/mkYgKwsgo1JdxuuhxhNnRJP7/YD6+aOwvwMbdMZznx3gcFlblhNV1k
zicvEjSWcbqwaFiIdIk/v5D9TkxgBx7b5VI8EO3Fkf6+MiJzLlVe409UEDLpbkx6uGFtBF2fP0R4
XHXnBvKA3LoxtNCE2bOiI/EdRsDFcgzWrbpL0hycwJholtadBVUZZo48mIYHlAXq5ezMYkE/phb7
m/1kx/NNXyFdK//pRuwRDBFiWc65hk3x+1IoJXOn8XFcOtmk9WymaqjPcKPTfWzO/7jq4lJLUKDv
Atj6zvvjDVGN3Y8Kwqg0PQcSZsb9MxIPtwYmQsSRqV/ih8vp9d3G6HKs4bjM0seXQmBc8X670aVj
tVK4J69V7lfPs8eTdKPw8Q0Q8fwOVKfVBUZgStm/2Ons95+Iy5UJ3fUcrmwj5RTO35eZW0R9irEe
xqRoiEuN7C/wcqwSUB05Ni4CUfAZeUjubsa6s7prWC6sQAfiG4mDM0xxzP3mO3MoQRF1vuA1rfSX
xmKQ/PMb71KWXpehH7RS0uNmA85OPaVk7xlxngFcBk59K7KODNLl8yJGl+ph7qXVnEZM1xhKep26
EZMCGuuiHNwvBziKVmk7xv4mQMSXXwnTyOXGtPLydgJtuJZeb2C3l3o39Uxozb72K2znxx5lr+lD
brgAS5sVc00xhJjDSQblOQY8hIg0GknL3MK6gIt9QilhraFRiwGRg4WJKpG6bSqgcCBgQeTt6Kyq
WTPQuTRCEquwvuDgnAOKGxnrJVTNAoYir0xuRkJ9462PAVh9JLIU0BtZeJQcvDGnK6pazZ9qLDb/
KD7xhgJ5CYulrmkb1lpSEYD2DbQcSW2O2xeN+yxVmB/jwFB3jdJlcuOUdVFfmK+O/W3ndLwQu/FZ
3bVVNvldrcnU3ciht9qdZXrqLjft4BJ7Xp3f+Y3VfVGdyV0gpBX6q0MQmXslW4bWax8GIKJEM+Uv
cuviVSB80x8bCzv5bW5n7mVcpKIgGjBGdik+TGrnNahaNuAgIFekFQGEB+WMMenoRPxEMjki6zOa
3erYqmwwPpJ+yqXbXHNqhWZFGssqKZzO/lDBdunvrNTA0zDnc0lu6FfRPVizj4ATMyX3OI6SoeEG
IrSx1k2F8MCz2cKFRp9xqvA281a2T4jxxcXddDomSAVwIlbWmF4zmgPTCpqh03tV0MPCNAhBGWOc
vuS9VZGvhnpD8IFVSeDZ10YqORve6gAwe74+ZBBADQlEq+RkeT7CqAggJCAOda7Vt7DX0U2gMfX4
A4ITBYS0lZNg+uHCfHtNoySJ8MvqJqhUb8vKs9lb4BU5x8nHUeS1wnhMAs7P1r2lrCQ9gPaCzdu9
yzYuPcFX1AYenVlSCJ6r3S2YuZN1w+c5xUJjp1Jw+D9GM5A8XyPhLIVE7FLbkazuvpZWtiCxEnh+
1WS0PwiSQODfjj/fGwAZE7Ar/yJ85hGrHGonidVBbnbnEmsKvS8bg0lDwYhyOrrY2Ti7LLTj9Lar
Wn4RC2KV3DWFTbijtlr1MijfMZBW+yLP74KauKsroQosULKsciF1Ren8NTCYZGyzoLXd29lqQIGT
mdrYYf1Nfsl5zBgAyz6YH8u34jLNgSDk9o7/RGGe97gekibRONDlxgadehTpJYXMKMg5LmQHWj8X
DkHFIGg6AJLIXBzgmNUCtYGQ9wuVQA+kFf5x4v9nTvrLOSmr5ruaZfPav/7X16pP+/n6tfz6f/7X
VVpVX7u6/xtH2rbe/tZfg1KMmwKHxoFxKARk6ph/DUr932wwGJM0iGUWCnbxr0Fp+BuORw7qTzAh
WjefQ/evQamDExT5mSFdHZpVfvI/4UhbOBz9/fxekukD04aNvbSKRNK/q1QdhEZl71YmnECjTtoB
xZZnbKAwRjhsWIpBvutAvZ+dsZE76HgWJh1N73xVqoDPUuq0Ys40d1eIENywRu+d6SelC9d9tEKq
q83UWZ/RFsYPpUIVBUdKPI0I3K6wpejhrOK5sEvrTGBhlBg+xvX84RrqY9jsCW/ODwtb6OxnqEVK
JW4L2TufjQmPgjPTKFyTXc/uL2OGicWDk8Opu3S61egiSf8YUFGVzvAlexve2p1iNoarGtrjnZ6R
nmvSxDcOjNB14jvDpylD/aBWA25HV7mTovNpYYQ0u5x3+xFXk5LQP5sEgW1TROmDlUBpiJl/6bWE
cuQdcedCg4aw9qPnDvaxg1ext1X2paAu35Jqubg1tWmGabxt7zM7vZ+RkNx4GRPMA/+Lc4VzQFRi
ToMQpq/IC1pJAgW2vWW8Kpz4V4GZlROaQ5+DAmbgtqX1V+sRVcgGoLIVW02beQczRFyNIfMoq4fT
dxzCsKXr12H0qMvA/9gsLvvQTqEKyagnUT3rGlEs0SDszL6MsucRjcbWcGzccz2I1a1sIDANqjp5
YV3gIeszCB/KKV0qm4jZ8DxP537o42BtxA0xqqmn79oqdlNzH8VMZ3ILt45eghbZ/XSYyRuoNoBH
mLW7UZvtgjmKDi729M+NhpW/0p2h78OCfFgS0yc/PbjY4BdoFYKheogJPcFtd+CMVQbcpCLsuj2z
kdnsjkixqpI8g0JA8MEXWca8OUyahSjCbdm5axth3bUW0bRVZlRtPYzxjmDXd0ESeTg5YnGd5/WU
rVOBC4VLUhqyqRAm2oDqm/BKw0lXnbAxa9HRiKNDABHY8O9zhVuFsI/xIK/EDFlUTxoeaL3Yw7dr
BOR71HzRyc+rXUVl+mAYya3Csm0lucwu1op4+HH+ZJkTLqV+Gu2icf4Imt4dW9TNW9wOsktbGuax
EW5O0mZrn0KD/T6nnIUNnSBzIrPi5AIlQa+r07NRzPpotixN2yvsh3C2X6qeiILWiv1VlvTG2u2z
cUdSQN+fMJTLjlRlnyXVxEmmbnxumUyQClCaW/wo9ozP1p3bDDsX7lfOgHGTlka1jlsjNFYNIvl1
nCRfBeIf5MAYqzB9WHmtiUbOldhyYH+H4HuY40slMPsHgm32qDw/9qnRrSwy81aMGaK1KzPrht8+
O2diNkjGAOg//j/2zmw5cmPLsr9SPwAZZsDN2voBiDnIIBkcMpkvMOaEeXDHjK/vBaZUpUx1SX2t
qx+6rR/uNZNEEhEBhPvxc/ZeG4EHEVkFLCcfKPjO48t2kM1AjAAbJLRQgGlSHqvReZRWcc399GYx
IurSXodztTylbrev9VacvFWYRTBVtUB+hXCyjSF0qNhNkCrbz62Ue3+ebjNTQ/Lm9Aj3moJc02iB
9R7ZL2gN6Q8g594YZfGtsLFNmtXobmj39I+pVt0iaTRC0WEjw1DPIpj6t3YDPDIrJyZJvjDA61IN
6ECItuWkKoajw8iz1SBG5H64e+oesO+J6A++Kr4s3oxMwNTFyWW5PPWKidkUWRmZuV2GRcoiTMFL
jYc4kQ9D1m5Jadn4S11dJrjAb8W6muV95DWBn7XauWlM+5qa0j3VTZeE3DBKmqkRr55MPupaSzlj
Tt+TriSxw2s5oqSyCLCDo91lcHnq59TatizrD3DqVw6vK4555qEPVg+MwfUdywSE+UwbvbDN3e4D
60q/MQcvGoLG6rJLZvYgc7u82+vcqJ1ey56JlpNcrWkSt2rSUTdo3cbOylfszKTFiv5unspdBRAt
mDKsEyByr7BdWV1ggke9nu3Aoli8PMJUEjvFQp+wO8gI640BQTXrnjCqoKUjRvtxzMfbRpMKK0CX
PSNreXYAAwSFNry1i/joxrB5erK5G0BM8MkK6EDmuMP+eKzdbE9GMRJSAGsX04jlfvTVlwq26BZk
cHvQO/OpibycBzhnklEmxXB25KhfEgO5oGhuijZ5cXMTRzagBr228RJgXHQ18Qm2P6NX2wnzdS1t
NP/eby00o9l0nbh1COwHIlVZRv1POfrHj4XjuxuiVvmqacSQEOsIoHbYDjI/cTruds4gzTOiYD8g
5C1lbC4gx+dz4e+LqV+OSd0duga1bhrle5yDRIwLrWFUqcFyzotwiYQX+CO2bCS1vf3F1rhfGHw1
/zKTf/GQlKu51VPyFnoO+u1xgDCeOcnnZnJRgZv9zZRK9oSxeDZsxOzwj8SwsLFmQmxN1T0O9EFl
6pVfhqk6CH/+SDRUsR14PwgH6hxPjpeehxkbvyqNnQ3DwgxjmMmXCasxXIII3nnPKezspE68mzVr
Dto+tl6JtGiudI/yKtAYzjZb5MkVQmaruo+1oYV6pLCf4xYOGzh8h7kmZc8wjGZX9U1/Y+ITR+Vh
cnjpdTAylvacaOO6PWNEqF0RaL5zGXXPfEGsUd3pcTNMG3subDBJ85L11yrT/KNo8+U0DdazPenN
ZwwDWnyISrQRO8cbrTawCmNUgW3XOPnZZ83t0IkvpTbcG4mXhp09dlfEsfdjpWkcILWHck76u3xK
P6yU1l0/ufUJZNkH9LrF05SCjdYQv9C4HOD+FvITy6t9GPG5vGUozbfooNQRXbC5zeoh2btYUwPf
b/KwzG3ebDu8rgkY20r3tdsYtdJLAyQOpnHrf3d70GI9Y/zASazirfa9+dEbQfPnvf9q5aQjwxv0
XrDQphstcvXQ9JLsCbO9jp6C5qnwAN5aFpnOk71+ibhhWQAqCqMv82++17y8mBPMtsy+Nir/POua
dxWiGj5Y7bBFdpxcMLU6xO2wZXtZY2AkSZWdcChWdkCQYHFul6XG/NwDWG+r+NYwi0OXR3kItAOj
KEa8K+IIiRraT/oHuGz+YfFc+UFbxKHu5umJ/DwkuCIVaShgQN1AJfwqc/8Lq3Oxk0gWN5zh+ucU
YbxbWWLfCDVviGdKtxFz+ltYPjD5TTzjiWPSfgGybqK0sFDjmI68yYx2CYqunW9KmxwVXHkTxCX5
hegnI+ynIoVHhIPtkQWyRTDWWwXJY92YrMLoGF1FaedsXq1WvUpGl2cIBc6O/Ij0RR+VNUNlKHxE
DfZsPZaJZXymoeJ+ttMK7tjSxQLaN8R32uZb+l75zhQslgsTNgrg4eT1i4bxW99UlnlH2jNYMOiQ
ClInbItNSeURJiBI4yTEMURf8qzQSOzycogfhUYhatxSaIUlWAgllqNrjl8ZY7l7ifuXKLEGNBzO
b8QpNekCkyMCNsk9d+3kZHYXwFEjrqCuiRi3+09DZ3ehuTRkCsEx3ThFHQWKYFViT2rYo++xL2vS
u28UBwuhQZCobDhV+riNlHXJksxCJuSqfYGZ6ZwmJTLCjnlTTrrMvCS7YpDqqpLB3uvG5x51/65D
D7HNyuiZrlMZFCTMRJptbeAkNJvWUYE/ZBHD27naIqE/LBXPXammNmCwZoS1VhGfjvkAfZFkOcHo
jYASIb2EF7fkyadRdDfEHYqd7vMRwzl5nmp4YOTUoQxKy/PoEuSdGT4iuonSEG0bJqHYa9gTi/qI
JPyKat7ew6T6UlT9M6oagJcucGw8GpTLDm5qdJCAwbpNY89w7xtH3WpqGrDna+YLQzdiGIuyfJ66
lgYKfnyQEprNcErBrqnRhiQMVPGF1HTWyuW5lA2KKHRaYVpH6ddcGRtj8paHBfHmFph1gFMSkOjk
R8+eUdzIpLcvyhZdiFPkO8Uvbtmk3RrZUiPxRuA+2QNSxzbZLUVfPiPtxjtr9/FO2pXY2kRvUXT7
TjBrWUE4G4vLPOblTuiOvLh+9FlvVbwR+eTuodhPD3JGConj1AgxClL1GI2405vsUk1zfzH1Gr28
HENcOGvPRJ8v5LKcNMMn1cytrdAbBgbwwhtvmPp+rTlvQK17Nf3lLW7cPcbD/oZj7syHkaOsWY6R
nw9bVGn7Ivmu+ZJkArfVgWtnzUHm6l6mFmDAhOUxkX6IeEHfNQ3HW8R0Fg6NYW9iuaFblZ3BS7GB
Zijwc/8Zv7qFLXh5m7z+S9THxBbkPD+19dB3t14dPdcDxkmOU/EnjchClLSQatJlCWPLu1mE/9Fv
6o0Sot7nbI4BGExgqIAWAq3SSV2ym4dspDrT2kwPu34BU5eDK7rkESEdkIPuYbQNfpCTAcSWkGGx
MdkJJNKDJtnNvt8eMTO6n2aVfLOA82E+GOcgscwW2LkNeREyRvla1FlZb9PUKC9sWQSVTbVVUODV
ytvAu60eRmSVh0GbZAgcNd9nqRarsDGBBYV1ztDXHA1kejQ/OeQ08nns/YJGZzIcqarzo/CSam+L
yt41xNucR713d6rqn2a1oKiuxZ0g3u6+SjXju5O2/XlJUvcEWlIdzGJe0fPRvMPGq57sal5Tg803
zvDZLch9Dvixfrcs8QDhoY5vLDp2YQ9M+5aWMczBZZr2FuF2G5Ir6t0AuZakewK7FVClyKrQfBE1
s4nRDZKcwrwubTsiV3sgqCjqAMz2yIubzNqaSRHduciEMS3Mn/2SNnxpeoh2Cz4xitrbqi+qg8rm
I/EVyBbH4YL8jrKiTRCi5uKT0PV0I33cKVmZIMptnIoySC2bMefPt2Kkncghy50o9zj172wTClM3
mSEzlGyXQCY9UjcevbJCqV2Uw47lytmymmOpwnO7LQDGZklzx2HKv/aZZu85CtNxsabsdciFWJFD
en7LVs0uNHJawL4izlVb+UGTZwCkIs8J+rwMNVreQW2Y8uxhacN1U6SHNreNUJF3G6Ak1M9dLrsT
5qTvcsH3hgwrWM8W5pJeDFb37QQp6T5T3MY6B+QjchDKRTGGGqqywCWvYpOj5z6Pdnafmogb87q8
jV3vBc9Vu6e+luHU8PiTQ7WrDH0fj/Q7CkxHYeMk80ou5E8h3ET42H1b6gYlYXc707/HVB/R4bbQ
BEvOWaZFthfUkmDsEt4eXBRoKCHaYlZlR48OSV2gB88bh6JlPo18U8N+pRnqfcca6RgK7urwefCy
z+Dgjr4t7yFETccU3/CGIyRGtO6liYYKMOi05ajFk0yXP+wGopr4NuiXxejNPZGFtFEWNl16vqi2
jeucaUc/67fL4OahlKBROegs1Qdpa7RNxnH0dyY9ZtbOqznHM++IyIPcHTl5+WMYK46DnaYHywII
h47AxojS8ZQACMQNW30mcVY8ZLHGjfSdvRxlskFxuDyjqLj3FgHCtzFMrPT6rmsdAlGUytyQQlmD
h+XNOH297KmMkm++IS/tYp5z332zDJOu+FtnEJrU+d/VAG9F99N5WxlERbWl2MisCo2swaUoh+9N
p/Kw0PJPidSSrVxb/y020BxDFE0Vn14Jrtt4U1X0AhJjoWzJok9Znd2rhAU6bHvlTsh8bTIge9KW
NGp6oiVi0mnGgUP5IGfFD7GTI3gHG6k3clu1U4Vdr/OY67vnBoAtdJXQzSZmN1Ne9Du6OChwit4J
SGT0JDv0LPsbJspqb8OaFQEWCSJ+CskAhFWtI6TQUA5pOYlM0PRSkXdPmu2W7a70UXtiJ81HFVqM
2OqzyxlhZvkw+3SX2cKQQMf4jJyooecAXUrHauvbn9t88vIODLpo6Vj8GDf/V/fr99/qtY3d/rf1
D3+huGCdS7r//vM/4rr5/bpr9/unf9i+d8If+m9qvn5r+4Jf/WHYWX/yf/U//t5P/4dOvEVPnRb4
f+5YeqwJcvq3zRspZz8143//xd+b8cL9zUYC4jrACalz3VVi9juwxNDt39gEUOyiDkONuc7o/wCW
OL+h2wJmYiF8QFiD+uKPXjwuKN8xV90TGes6Lfx/pRfPzPzXVjx/AgUo1hpDmDra7Z+n2aiXqy6K
pHYmDnx4QMCGhN9WzrEslnzrMenDBjuYV8COw96v8XCCFxfHVb++ield0lJ2yzOTxzI0ZOcf8lRn
DwZ5XpElaGQh5NUE+Xd8jRvrYOds9xHAL0Bl1cvY5/ejSb2ej2snNzcJYOMbE0atDYashC6A319n
VbML87Gr6M7QWsKoYcWYUMehfeLEBC7L6+zNDGLqq671wexbz3yTv1tNJwNmcA+zmLtrVrvrUsTy
RPXUl1cg4j3dKV+eZy8ZGGTJMt8D+E5psVWALkbXO5aQy7ZZtnQEfeGEx9yDxj+vF3cT83EyMEfc
QAHDio/quykDD/pkQjFbzYdFV/pWbzj/NgzfbnTlH4rCvDY6LVirE8ZtmWMSi6YSTBXu/9gHVJoT
chtI6Ue7Tm/KkAcGxi+y9UDG+UjgnwxJx2HZgYZwXjrasp6jeacS92kY1TRweujsu8mM6XdM0OOc
0GmnGKH78girVm7GOXkRs2EiLHfc42RD96gMDk9JK8VGn606ujRqNvVtUSepImCPEB/9PFSRtTxW
yoJYtk3H2te+5MWE/J8I1l4jthSZggpASLQYdZzapqywCdkhthaFg7QqH/GDIHoID7Y1sTsOctyX
FH4HTEbTnlKiqoLUYJ2dyqq7al7HujdDpk/goyytNdCOT50bDK6c5g16EVstJ/c36Ih6LoKst/OL
Rrew0TYajc8Y1UKjQMrcootj/l2wrxNV4gT8odaDyUwvaKlOXlR1rnoFJudc1dKMeBAE+TdaRmxO
V6tsfIi6vNxXkn5EfGdBNR7GHboDfO17GtKquwo24Nl9pohs9UdtmF0/3mqC/CtCs+KyRxSvcwye
Ul6AWzv6dEto0tzIHdHEFZMuSD8far+ZHvDoLiVxa2Tf7kwAN3hWtXgCdeOIKNT6thX4ngbtJcmd
NN+Yi1eSq4xH9TY3yBcBCSK/MrNflRekkF9R9mlNyEoiyW7FBPwSOVVeXrRs5lRZNjNF6jC6AwZm
b6TQkEkNYRZ/wWnOjOSAilnbpgshdeEI5OORDGYP1hDnvg95WoCUcKRrfZKJbW7oLsR3ZEfIOxf2
+baDlRq6iUHgMC9Av1301tmWWPi2U1Ush3Sumnu3VdWLmIArUqgRiIXdJFvhzXRojgAEoiNigeiI
XklD3kiUbo4PmhmHQecJ/YlRedzyha02c6xuDgyoOoQTtd21H7zqXvpNvPck53ZjcO5ENsRPUdFM
Z9r4JoAzLV5e31f5/+qtDkOrqtv6e/fz5va+Yf3Hzvd/0YZoMktGLvefb4iXb+O/vdYq/8nC++OX
ft8MPeM3kmFMEMf/7rj9YzMkbchzdZPZKdyLdaP8k4XX+Y1NatW/Igj/md4F2Ot/YzL9i6aRfRX5
pMcAytEdBG3uL2NpY+Akq0PROA6IKtIwr2LnzlJjc3kPZvvTR/PPntv3azGJQcePJcIwflWeD62u
IVE2qqOHuuKyDDMS0d4SLzOfwA2hEf8k0vtVMrcqUeGboaRHpif+ItJT63i1QU3MCW51MGLTRxLG
iBv5+YSImSIAtZE1+cYTHSTz6e/f7FpE/Fmv924YoIJFxAnpBYHqz0WG1PR2qlkEjouiA1oWJbKe
whj8m9lYGEFEi3iJTP2f3vIvouT1IwZBQnlFqeQypl1VCH8SJXctnNHR96DmEhd1D42j+4orFZGd
WGVJ/7oQkjYGmkCdy/H06lR76wv60wUzwuAbtjdxSAD8nD0fI8GcdIyCfQsLbTS4P1ainyzof/Zt
/2o5J/3LwWeOaRuK+Op6+UUHCVxEX+JoGg59PREf27sRErBlWV23jFfQ/AKwMi4+3IujN+fGVQ5O
9VI16FsZNOfE5TKB866M5k0wVYMDF65pkvbGmMT0kbnaPzwFjveX58AD323y3UecjCf/L3leJYEe
oFb6g8NOY4P0ZBJ7buNClztYYMy0ZGyMJwOfPICotnPgn1fxfF39lAdTT1z3lLa+dSxn/PKx1SIF
xkjEs9RGJvLWVWY90aFNwMQQS7HlEGRcShrnZBDkq/a7N1taLJpKOcmRHu/vGmcyLprykI/3Hh7U
Rpvxv69e7CgVKMsWNdTOZ3+wmAgTRTsNDHykmZ2V5Uz32BoQW6XAp8QBOZ/2gfmsiK5SmYpHjqBw
i6TjdtZiemrMkoxvPKWwfQIjZe522xEwZD9M1TzeVHqCYtp1CLgehG2jll8XAjUTOxNMA1pOaDnT
vcil8rF6SoJ1MhNZMXPX4w8xJESQBkCzNdzrbVuXoYCFu5pWM7GlLeu8+Qpb/w/tHnmFOHyTbrpq
UjOenI6UhnRJ0ShiFSOSdBbTK/0MjsxY1FClvjt2e1vxTpvcHklzaVFfEtAYvdDVREPa+yMeg57P
8V24FwHTe+pxS14XX4qXUeKhdzXEk7DlxVZapH/sZlowPlpPDb1+O0Q4gt+f1SSLUawmVjr2t2kO
mqnIamR2yJVo781D0+7bEU9liMQ9T07Ci9LyuGICQPe4nKTgwthm8gFiqXjxG9bTTZf3WGzK2eY5
GSrXfvsBjo0bvvwSOruYlXghNRHHm12lPBlTTpvAjhEtk6DI7beaerrv+xmJ5AA9F++v2Tav9MOQ
DsY1FhNyfN5N60xgjz3M0iYYmdtcU0abxKGtCsX3z9+eOie0et/eJrnnbYSPOpNUV6Ff3n+G8xed
IhS2rBtLctB4rw+J1w2bMRZi18uWBzhZvx4uhsjm0LZZFJ0N+HMNPcexp5s1+YKxpGcoK+hwj/V0
6NHuXDrptrSX/DI3p8cGuxgqk6ieIqrATJ/XASS/QM6yoR9Ho/PAThCGizKzbRFL7GfS92CGxygG
r01TOQVB1Q5p5VXSd9GNuYj5FVPO+HWYNQnVGEFyej/Omjl+aPn4k32LlnTfEp89BotOY5kAcy2s
MccFmjM4fM7tEyT5ZDuljBmiCmA/qEvSQuR0HC1Jq9bPrAtE9T6kBD9EYp7OXVxPT24Jwm81d3Db
tfliO7mLMDkxPhKJJjdNMrsBszeDqUbSXcdEtnHQRYPziVMTSd2J1Y4ArAEAnQdI0Afbr2OOT7pZ
IyStQeCoHoZUy7Lplql3AnLpXhq9ApHZL/ZMkNBYQimYtLambRSvrOul+yrSZHX7aX2cbni4SXSK
uqlCbTm0pHF4XvRiVW1XUdHazzTqNJBI8q0icfWSQaSzD3K0WLINb3WJq3cn0Zwj7UoAYAygOfvp
yjbHs2ziN08PrkbC1rhgJZtXv5NjdOJlneKShR2vekxnGKbruyORYYJxaWyjeZ3p/hQIB8a3qfbj
l4xornMJ4PopA8/wAVAXX6x3dkSkt1jUPGzwfiN0UgHAjmzYRusn16E1kNIVhlxqxzucxb5zcopF
Fx+WtjE+lUrTluOS0LM+WqVaLBzgTTsB3zIUmaamZX2mlei4W1Xlp0I00Q0w7/gepH2CKFs8eUki
X4pOvc3ltK7+qfFCa6/fZD2f0yQy1nmnMdKTqBvzU69FPRRv8Ai3jRi9RxwxubfBTH50rJ5ZtTVK
JDKJ4Z3taCXOicqs7qbehO++2OZLmfgNWaowqYKBPOONPZvSC8AwOENQWlF1qTzN/lwYFj/fsGOp
ZychDeez8MeUM7lsonq3IH0qGJfkvR1io9VuyiLt+ehK+m5L58QfZ8+vD6ld+XdMaHRkb+QPeJCY
8pAYnvaVqQC1SENowI01InPIjYHbKgVwhBRxHIuFXcQKWEg7H2fEzRdtmtkWSkYlG61w269ItsSN
8+6Iyd2FzUL2PCltrBOsM5EZh44MGPaGwG7jQq+JtVS6Jmt6Jvg7g8mrcTuw/O3IraGnL1gHS+xS
9EdXo2Xa2PyLJF9NppMVkxpIdCuucTNnvVeDOszJwDo44BZnFu+4/o1oCi3M/JorZ2wm5D96/nQP
aIPvkjNiuPJm9vFacWErWuy3Zc5Y8N+XQC/pETF7GBzgi4w6LjVSB33MAw3ZzASy63uvcIAyqE5r
v1ZWzs5hWIonwlwk6JKC/bFNHdbp8l0ADrQUsTM9e4+KYeaIsv/xsox3hbpMMiqJSFstEJ5itZcF
Dh1IUoRJkvryVPr4lI2lqOBsjKaL076H3TvdGqh3rFBXon4dUfaBy3ZWL1Baru6qcVi1+JUi3+Bq
y6aAPtm4HSrDoEhimRPF5OuD5wHEt3HO5m2G3kY68yOuIueV8zML6wz992ZsFIQuWsbZCksw4qfR
WyArMn9xb+zF8lvWRc94LGpNPzV9on3vlBT7pB/FFPCaqXJSDSqIOY3seiSts5NL0RlPlsKDSjTB
hP5ceTai9XhK109UkjfNQAI0IoYMHxVnqViqiJrjjpIHxW16t6oULbdRMySnhg68l4J3SVM93RY+
MUMvhjbbDlTwmdLy0bVSrX9ET1u4zLLHJE78K1BL2D2bvBGEgbA1yjndzTlTPOM586mW4/00dk7g
GQ70HaCi21S3EVoggU03MNlJLHDBpZIWRw3imVgic1slMBY7Ei9h42z5n0QHgnW+yJbmltsvr7XP
ypIPifZx0kR60roYznGbsPXMEE1jE6zmPDH/LfrR4X1Id1PBr8NOIM723EahLK2H2GdJx7xD/oYe
4wZZDLi80ySPNcR52hSFcSW1JUKDzCIRZINKMehQkdCoyb/jtnCAENfRQQCkgVIhh3rDN3Bkwl99
r5T8jnLyTkz2eOS5pjDopU6IYqPfOeU8bAadMENiNYiIcOSW2jh6nNx+3mVsoptMwi6byCmy9c6+
ncy+euBusy9XU3Fi5yv3hB1qAdaILvRLdxuL4rbP4dFYfFR3+tzEz3gF+ldVm9alHkraT9CfKCAn
uS8gL8MvubdK40rlR5SWNurfHcx3J8sa7JREblPgBwoqD1m0f9Cy5RsNIm4IsTYxQiTHGpNN2etk
uVERDBhP2IHbYGamzQqS6KwQ7Feshl1Wg4Q0taNrzZIQwLzgIS0TVpvUVTyRC6TeCG1mgRdvzscM
pOvqJv770+l6SvrpdLq2AT2sXJ5JR9389dhPezsjacFqkEu9F/3DhIlIraiav7/OX04/WBhXYzSz
O93HOvnL8ZAmYtdnddccisplMe5BiD/JVuGWsyfMy6B7Obq8L4d/f92/HP25LgAG/MqcTG1Oij8f
SzmSF1ZWT81hygr3rdNQSJNTAL9mJL0Jt1NZzVfXTViL5bBWuX9/dfo2v366jII5FfMF50X8CkSf
24zuieHWhx/IrIXp+ZO/rrrZO92qixvWfL1RHEvWytsETtT8nxlO/b/YsVtbBn/fsTt9U+23+Zee
3fprf/TsrN84qrseJ08aY+/mj3/v2Tm/OfwbbBy6pzOEpZ/2x/zK+M1yKWzX1oQJSWU96f8+wLL8
3wR/jkdhfSoMwtD+lQEWtpZfni+kO9hbgf/5PsgUtDc/P92mBClmMY09iIFANfg7VredOXrlZ3Bt
znnSlRweY6eNTrWeJv1xSKvuIWnIo9znTGFzdAUDQsIkR6THxMhC8atgeTVTTMB4ZKcPiBUpP/IK
bI6QGRlR2nghyzixNqggo6fJrJyPbjW8FcZMnFZRPg0ych47ZkUP9IKe6iZGMVFxeobOXUSEAhkI
5RWWldt+tEnx8jPfuLZuzdmt6fSPAmYTSC0tNa9VNeanVjF+r0v43/iSW/ZBT9uiX50uJS21tUdu
XKMFDHqJxup7aypkXE1tTfQSykUdQWkhDLc52b5ZA0LOZWxFuNikTL5/UO+YBOUln7n/KfbAlt+G
sqyOTq4Wf89QX4BLL/vjgkYj9KyeX2ydsTURg66KB7cUpfgwZIuMw4oz50cys5dbtxlESFQD/hkd
E003tuo4aD1XN/xxDJCxzruWYxKMstrqA1pkCplbmhJtMrbWgozF71cvZqy99j1x437HiTtwSU24
oRoW+n50jOJlzguENEPcGx9VufL58knnr4Gzn+58StHvSzKKcLJkdCK+LfmqFS34I0Yz+/fX166v
iidbIZPm/48m5SI72hpa5LleNe501Vd7Tv8DSkjidFKYxtuWdN8t+MA+CbwuNW9i38CbGfQdEVI3
mBGTBDSYQWC923bKAtENiW1vLRbKgyxCr1dpdX5abDrMyu6gg2VDv+vSGCcKlhN3ZzSzj5AxJ2Cr
70qeBb/JTxmjoA1XR0Patk66pYNNAjvBVi80dYvHhMHdR6rR9sZnIPqUwRzYIa9S7gbsiHWqwIWd
iWhOPmTz6vLjkHfWGm6272aoY/LOYU9FKxxm4Fq3zmK21R74ix3kjkSpix3FXVXxy+tSjfOerDWx
Z5hpfR9d5PlhpMqyphTntMnJIEvzHXVBl1zyouZvCeKqd26NfJMYhB+Fw6BqLyOHMW+vERl9hOyN
eWiBQ9wsnR7dlhy6cRjFo7/nVGvsVJFYRLj7+b70sZEyUVv1o1OXlv6eMVj72NX2R6crENo5+ofK
n2YSABkzgoxFgQqIC1RXGRP1FraG6+6IDsP54ZlNCPO9OsVkuSPj6X1F07So71t3KR9azQKSPs/l
vZPaxokjFEd4RL7bkgb3qu/tgGzbyymx16o+N+kmjIVjPU/UFgF1G5pZyJJ8UacRsjt4JXKEq5SH
aozyXdUNnOLrbg3LjDIs0GOroWq12ltaftkdDIv8XGmwqzk/otxmOL3aW1s6OjHgvyzwKYBvCkyt
/WacdO/jsGjpbWQYZDyrLMNHCJhx5tYvDQnaFTZ20NW0U+FAZDiUQ53feVvgafobLeMocCAKUz5K
geRxOw5Gsu2TAc8RIeTL8+RADV8oMy+0P9Vp0Zsa1qAz7zkpkz1PTneNUylumO+SB2GQz1Mwiafd
QypRXyFUHFkojKAvRp3uGdmmY9TUDwnEuA+C92/hf12m7EjwhNdu3CUmbyrC26PN7uqcHf0cl9Jq
5w10jrUhfrMau3nVqFAVZvLkerG+hFPBYZp2a3YeuiwnZEml1O+ZiQjdchvibcUw7cF8VyGhIW8Y
uuWWA5p5rCPpXYj80J5y0utp/5iEYYlxytB0VkVH/JG/qHuM6fgdKupNooiWB9MdWJVat49e31cW
mXfRd5DMNDNqvqHgQg3m1Ou3iNgr55HRCt/QsaRtp+ksq8Mqiwy8mR1G1W61Z2CtjmQomDZfh9G8
Gs56oS5R06YyW15JMZCbNOqwIsk80UR1gbozX5Ci1vOmrheIlH213BL65PxAL/3/Aec/KH4Qx4h/
LJcOb2XTooH49nPF9P6bf1RMpA0x0Xt33q410e9yH8+kWoKYBbtrhUBhwv2Pcsn5DZAKg30BI42Q
Pos563/ofYAU8+NUPgxBTd36V8qlvxx1PJT8TIxAFPMqsAH/XCyh8JtiRKALRDv0jNbiovZ045c/
1ZD/k9HmX8ao60WYnwLU4n3SA/75Il09sMEIkhv7HC7B5LULbMfBC9nXuu3fX+ovhwsuZfOxeI5N
Cer8imOqy4gEx5iSYRpS2I9Fmp9NE/2oUSPJKeDEHEp06UQj05zAB1T/w+X/8nFSAMHWEh4mHm7a
rwM/fFZEUrqmPABgfzJL74Oftpu/f4frofDnwymXWItoJopM+n49nCqlzb0eGfLgGOPT5FgvIPzr
sIdJF5DN+e3vL0bp/tfLMZtD5gXOBZCezoP45xGmFQOnn6gzDjY9+FOcl0ZD0KNWnnInKk8F7kU7
GiUu51h2bHcWzUjYN2QVBGWuSkVKA315z4wNMCGZnx+xdQiahPUgUNUWBbMwdC1kMZjSABJZEm6p
ICCgAimtz2Y27uOh7b5X9lrOqU43XxAJ0z2YBSsvVivrgllcEGyfW5uewICXOVujTdx4RKxiegq0
sBQlneoi/kAjrkZGpsh5ikk+dzqiDl0HnfVAIg0R81186QdC6OISGGlN1DHkIkK1hn5Zjgjcb9Ew
DzurLL/bXnGtU/sL7riHTjFeG22/PDX69Cke6EaJlTmvOfxNst0XOlyL3OeSqkoRwuK02fhNJUIe
PcKdmxmXeypq+EEmJP+xHt3LhGEpFJobnczYevE0IzplSdqFssVQmQ4DZBFNPE1wTDazkWWXRcj4
qXOxDlMVhboYYsCqNLamMRpI/SyibQaK87ZqSfFMEBNH9HLPTkzCxnbE98gRZZxjcexQAE/UtJ54
kh4bT4JuIzQJ3LlpwDVjzG+MyCC6WCn32aYZ/iHJB3WHpI+/40PVeaqNfDgXKu0PTMKBwCoF5MWE
NXGOSokGi7kGobQy35UjNj9K0exe1jQys7EytvRazd2Q/g/2zqw5biPN2r8IjkzsuK29iiwWV5HU
DYKiJOxbAont188D2Q5b7Lb9+bvuiJmY6IjWFGsBkO97znlOLj7ZFTXwnNhGPMiJqV91IkgNr8Uk
ryEER48IK/O2TCpJXxD9aTGKFkNCstBBDbZd1E6ou3ou1S1by2s0Iuu1mf3u0SaSdFhMbGc5Wu6h
oM2A1JKb7HRXjnsGxtc4Uw7W9YToSOpZ48Fuk+BOuFG6p05anefIqG51Pm3MVk9nFhM1qmedix0N
W80rfsIoWiVujZo7OlTZBra+SsKBdtE5dm+h8u7C0GL3G3aeXAUy+kwBcUzE03ke++hEFwTLynq4
q6fsiRQX/cp9arCwo1+6azFhJzHbsl5Hwx1oZbk3rUQcJFwtilE6++jULc7FatmiicipLvQr+Sa/
aDQQUMyRuLPCZnprjUosfObyuo9SA+nMNffWGGDHzmnVIgXAIjjjHLRpRMOrYS9kSAkMwyJcBkAu
REg7jYYfvnISK9ehHwX7KAyHq5HGlzUU5mHtBgYqXy/ots8KY2XamDXtUI/rwqFI1nLz4TSbsbwe
WSHswhTGd0UoizQCTboUFb1ZofUcyJl0dNeJ+2ScxMHsrc8gAa4NGqIeskrYiGJ80qRbTuzSUQJD
2i6gDnSbkNZS8gzQj905PRttQ0yFRq8NpJ2vSeSTn4fDSZlJGPXH0KC9RxrijlTPrhur6JAaqGVV
UA/7mabHdUR30hNQF6/g9jQYm7pR1U6blfXW9oCFq7h2tyhZTR1Zj0igwbqUGW6W0uvbW23U1hv3
bf+YFINFCizO15TYYFFD0wC/YtfzTZhnTHtWWE9PlfTza25I81GCo17hUWMFO5CcRxVGIwirNdRZ
DP4iZrgs9zEPANL6ApdqtBT35oUsb9rCP+a9+ZQVMZmtUJLb8BU+Vd8gRU97W5gZ/jkKs28hstl6
btqtp037TQu7/oK3oL/UNsraymEpv+GW4F6SKR2voRrmR7cw1cHyMRxWwzy8VJCrV5yGeGURUGiy
zl0uIJJBY/o9ABLzLOHYPYbebNP+kbobyM4Si2ORUkXm5BaqTdxRPcTvS47u+LUoJuOSNYu1ty3X
mfLST07sEJQNEpJjjaKQTdojXV42dw828vlezx4DD56ABjV+7i9F6xsHlkAuyQXv3ZNW1GGa4Htn
55ISa/C9R8Z8uWdyKLbKtOmU6ifIW5lNCMQN4oOmBpr6RO0cnM5xLm4iM2T3KPrsL7bFZNrnU7z0
isTjk+TOtTExNe34kPJHC0T32hGSmjCjy8wHu3G3LmSt527K7M9j78Y3rnLnZ8qfNgy04CrSWqkb
LeuOZGPKL2/yUjzQxFUghRgbHp7fKTg0V2GjaHyPwvbI83GgvM7intGMledeEXmYzHxj5q3+9Vzx
v0P+Px3ysWhxIP3rneg5advlf+o6+emI/+u/++2I79MqwvLSlhDgfufo/HbMD2gV+XGE/9M61OKI
/Pv6U/xC2QjA4IBfDntQx/8353m4PR8ObByyA+p8fcslKsBl8eGwDeWlcbK6zY4oOPPZi+gqp4ga
1W8usJ85XSwOXeNIMsqyw+IiKWy2V31llkDWK/o96X1qVsD9TWA4mUsXdyAneGFZaNJhnNAW7E0G
ZqOafaC5atNEz1dhwhRL5KVmC4BD9xwwix/4K1FqpphV400fl/03L/UXRSFJ5p2KrQDZ2bbcexoX
vLVKaSVmEwjna+lWr6142ntAK0+VM3Lwc0vqtfkzWceFQ8niMqAXDPAzGw0N6WuCA06OK7aJyh5y
hCytHmQ4a+PkL34Hop+YLr/2kRWxxwk8QquiD6NkW+hoZLObxYbzGosAFxJtE0EXX1WdBVNvNRBV
HW4b01uWe5E/RJy1jNjfVdkko/uBIxToxqzAaZxEhSAk1YKjoCmT889R2st/M6Ks3XsZVVaXe4gk
gCqxkTord4pZU4SypSlCDj4i7lpmrozYbRRuKDxqSMroSzFP0aX3mFEqesoBv3goYiswEP7LrMeO
LYscxi0kOW+v3XnT8Z8WqB4FymnT33ikQVuqKCPrkIMuJF5rVpshDPsXld9BSc/3hSrEGS4qhLZg
V6uemrIeiO2VIuzXoFjfNnFm8oOpPbHquEsup27KLClBfCKjlr3QXpatPDpD1xaNFusuyZxvy3Pg
HjjmuKKHutmUgRHsYnrqOV4G1mvqLGc14GOUzPG0TIKSMEWYH0wp8/s4T7O7fsSBjkYZeetyaPaG
HFxyfZRBBdMj9e69WhlB0H5xlk72Iou9zUj4/ZhFbrEVA0kIT+TttqWvYk3TSU7QlTJ4bG3xngNb
8O5GGWgRFar0tqcl4y3qUebI9k3iJph8cl9dKo1Tia2wXIIb4k614GcGzLefLDPHGVObr64b1RR+
2dl7gl78yV08nYxG9g5d0j4yH1FB2Yz4/azhWxi2/tsMFGQb1BX+qj6OujfIHdt0hhRH+yNL1Xq4
6u3YueRZm++sfqbmlTt/dVAw5o70arjnsPLkK3qufyPZQjOfD90xSDOa6e0pILxbtY8txTkXrHTV
IbMK62qgG+aGQgrW7VHt3GHhlIw2dfrSlHH6yjea78dRW1eattKDLsv6Jpvt/L2OOjdkgxt5p0RZ
823jdD155cWGmdSSoA5Gg/sp7chacCrktmKNydmfGKiCWbgpSUEu+3xUIVQeP0lOJZnyi/Z1e90r
K3keW0EPnYWb41xnfXKm86t51JkeHhIOzifKT8qtMSbBa0Ua4JPq3e6qcxg1tzBo0pOYvdncySJm
DSuC8FjP47DvZhFtcDX6OzQd57vTq2Zve+70PKZ028MYOZZZXRw7JzzjISg3oeZ8NAQLmaqMjmZQ
X02OmKCVWGRObf1VlwOnsqzMDwKI7ap0CEJL2fZ7lZTeDpfBuJlHt/lSh46m4mxIdrk9ocOU9nCX
ViTK48yfMLRoZsxpmF40Vop3ioH6Oz6Q8MLQoJ+B68g1c2Kx4TrpNlUxpoeBUqc99hqKjvGyZU91
AjeRr52rxRiaXeBl9VfLACY0+wVggDEU1pbjk80YpbpbTwI+BjoyuUCHWCn6pOS/c9CGjiSoQeKn
TEY5MOVjPWb9OQ6L2xoEyA2djNGL6XP9z07Q7EYWuD0FgYk4u0kmzkGXBTcGUKy7aew5HMt2opip
kvk+yMdL3miOPZIL9aR1ZG9m2C3FOsSXekyga57qCl9Y5LtMvdoqz5oQEKsubjWATKhUgiVoNrZ8
cCe4VWuqV+kWbNzpnUob6lMHw8c2gbSUHtqpbb4AAYOXlWYnniUwxJvKZHzqk2PeOkCb0YkepUrb
+8jrvBsTq9/K0NBeV3rKmqe21AEUF28+99hT3upKQ1+TcrjPkwpQB1ePd03B7/SV9XU6rWF/Ooey
dIaTERX9Pmxlf9Oj3JzM3FxqNJrm0+A47S3L8HAz2RAcrWSM73iy1ZgfdfXF70rv+wTDE4ZRxyBH
R8xXwALpltoXEBldvSM2pa+msXU2nhTUUVf8nQz8LSFcmWH5FW3ev9UF+Il1j5iQM88YoBeRFz6F
ukT686g88Z2CPkYHyYblCFjRNuibZz8qXXdr41/8YkWRT2ZpDM9ahv5V75fGKh9ZMMeBD20mMzFc
mDzfAGV0+U1ni+BCC2RLlAg9S/stzJfK6M5hh883pTT8Zsg90lx9qZ99G1yRWaOCQuUywN+11qDv
6qj1r2cjmL6hueV6FeiEx3XAZ3yVD53xGMeO+9pwqt+PGdykFQSItFxu2rVLcjgMt53wq8uiqlLU
GpbclvppQy/wJBHKHB9nCOwLfhMDki7WNeq1ZFytORP7b5mY651IrDdbt9XZiEoEQhgzK0kT7PXQ
BTa3wcm8hUkrGOzK8/IFUqhhyf3cMUFOZbIJ0sY8a2TFY8SQt1JxWd1WmLuePKrDt3iCoLM0lbM3
3BQ+SEAyAsQv0aeM9Z5RWTUNW6K98yjgfWdhn3ckqep5o4c+eJAOrD/KKkmBgQl9dNA07HVh1PYt
wzbuIrMfg7s8Kr09NOZqPQjr2g/VwNde2AJAIeQTNnCnoDP9LRjX5hs+GbNbGROEF2obvQNMqXrd
5i11l+HU3tZzXt9m5MsOaWyah9Ei1z872AmHYQ7mfSiV98xZwHwcEZgmCpIs77tfGPq1qHxnF2b1
i9Pk3tZIgztEw5bK7Up0nDsGvz2Y3PKiVdql8QlbGiYdhAlEcnspOvUA874ntaJBnO7R4WTqceNU
PN4mlmf8NG2Symnm3IacTWmh5GGt3cxOdzCtvHRjsaVJ4WfR4W1FuiHPrj5hTy4u/dDbyIpQoPY8
78pdb+sMIx+CsZFI74BLFzel9EaeCl7yygHNBeSSork1U3jQdRoCh8sCEyOZktmRPaBc88umb6eq
wf8pe0wxmYmK4yv929uMFPW9q2iYHLCrHl0xUROUNXDHcvjf/DgCD2LJHAMWycx9JritYIbgMD1y
Ui0xwonhoacY8wl/c/6E/dzfYWue7TUEqeZSZ11wNWcup5XICY+CNG2xiuj3A2FY8QSDBBMeE90D
YaClKD2lHeREdn4y0Rwxg+pApDtqv1kFThkieBmQegiAVuNfY2zIUEEZ+h2Mbne00Fln21bTTdDA
VwmyhNLRqBlPeK/npQA+epmB16S2+xi5yUAOIrkB2S95l/apyDz5OSGxQUAzZwgPoRSuvMJ9kRij
jpPhlat+wOzQaKPd1tb8puIJIoFx59e4Z4O4dze4DgniNkCXqo4coLAMHLEOaxBGhKskl8WW/vkn
vhZrpye4gATQNasCDjdGnlwwlFl0iNuvsoU1NvYdYiey3CbLfBAfRc4Hww6RzQepf/LS9QoQL9pt
3FhgtdC6I3yasIQu8YSx11I0Qa39kTWtcEu1kwgy69kYKanLtLXBSkm03i72OFOxpSep9YpjfYQn
AmuQdMo+CB3iqC79pPjlwRjz83vDmrclsRo+FiznDrURTifHbMU5xvCL/2CwkQsVjzlko2NSezQa
td28rolOrCdbs+Op2DWX1NPtgiydLo7gzaV+Tt4Sl57bkCn91drxp6n1v6gwH11fWG5NomzguCwS
dcyHP2/y49Ce8CP7yTEtWsY6Y/SgDqFXUCWtM/fBFmXzXnOWKnlk4yf8+xdnvv1JtVheHCsdapXv
YARaqj//LCMAaFXuNNcJS65Kvc+pKq/rJI8vfhZk93//Uh81GF7Kkj7/u0y/CEEfXioBcOqOccFL
1WZTbrlGJqrWcAD9gzayYHg/vifSgTZ6EwIJboEP2hmyK0mSzIuOmjr6Xewr++iS9t3mZdLdssKh
AaEPYmB3k1281V7ERD3MUXwxwngZrsFlldu/f+v/+RV7RPmIU3lsvP4z4KZF58cdUwZQcJRgUahp
b6VLRaSNzUNuRBSr91H3fM9Shacfr/2//dE/7Y/sHwyFv94fXXhs/7Q4+vUf/L44Er84El1NYJlz
KKxdlN7fFke+/YsvURIRey06VH5gm/+w0wUe0AdoyR4XFv/sj32S/4tFcSs0cosBlB/Cv9onyY8X
Lm1nEtOew+YUbZObx88XbjgYEdsbxzligq3DjZnOGaM6PWiObfdra3JwbyBzsUBgr8MKIqTViwxK
wLD35JR+/Wq7afssiLs8R9ho/+UPnr/OFLx9/kCTCoYfl+ifApaB9hVI+sA+pr1dvTksm24bEZcL
6ZVffZPk0z6oBQiXumLL9fcXm2UuxQ4/SbH4HwmvwukQyNq29eEGwGUMA04nzTGMwpeiCQE9DToJ
zlmAoWPj1o53zZ2DNnFrKRYf7QBkc6qSz+Nczl89vTSQ1/NknaIcImJGvSlszKWrHAu+e+eRSJnW
zL7OMVxqzWVt1Ttb1KAHweaR1C3YrJMnKi6xOZH8YgqUa+E3zYRhj1CZ1jN8AJ9EAJtyEowU77jm
KxIC8gUJGwCGPpFUAi9bBbzhHptOuaumpaPd6Ja+9ojgSbzGo5yuKYUXzwbCA2lH71EzRgDsmBts
up5bl9DZIEsYkCsJDywF8ZNRhKALZmsFLYP++NkbejjVIbTbOmZdVCxN8yXjhrMylv55qoXDjbt0
0vtwoJAOBRahFbrJsi4APHrABDXtwBS6+zHA9WbYJvqIQGa/D7SR3okWTtgmBTEANky4FE94QgHs
HYPtoC2V7HpizBNgCc8lWuxH+LGaxiXMacfdo9RVDEfGG/Rx2YpBATJBT4w8KOO1tIaWmgxXih0Z
6RDEAigIzhuOW0s8l9G84NmUgHoWJebAIhF4B8kpYH01vKuDA2WbqYvT8YqR48VLJ3/LFFTeZqUa
d23UmLAyqOSFeQRfnIPgKHdorWqnOgxfU24a+9n0CZ/FZr+jOmAXdH2/4UoNACB6xf1MCBKPaKXT
05z66cZ3Ou+NnGB9gJw8b4O87uhJU9W868wuIsWTgqnA0k36cN1ThLFn3pFXoeEzXfiSSFpqwv8d
4uW06znxN3sQ/UUCkXRWrD+Kb7htFxzcTHMGcjaga3TMBhJpPzvWyvXAv2649h6Is5HTg4qlibCA
E3eHB6iqyVivGq+s+nWIGhmt0zFEa/frLvtapnGY+KtOpXtTVMPXLOuLhWkbFywz6KPoxRkqiUre
EIhzWKllb5uXtuUJNut5qduy0v5lSdJSUO2Y1dtMxEGz1NGj4qpojO69DHWag7TrGtRBHILJtgNu
ZmwrxPAzydByWrfC6+RW98acPIA/maYDIjRbcyMs0bqqUhUR1R9xVH+GncvxCR11mW8np1Qo6Jk4
4HiNeRR05bWKKYdFRbWqt7aij0RyjuanPorqOJELu5ceN81oZC8K+ykpL8Bn2FtoCnJoWw54NbW8
tynGNKzCWQ7bBrNyuwIp2T53iZvaK0U1OHuxCN9OU2GopaqifuV4SQ6pN9msB04PpDoeuJC3eAVH
Y0Ufh/4iUk52QESVw8IzHNjG12Zdvak2D5xNbeRY3pZbecA7h4yeanPbkcXBR2t0PUFqc/6UtzQr
wyUZLMD1+zGEYjZveBLI6c3RWon65EMp5P9kJFVtfkdsym2EVTkP/UsZjXnSsjt0yjc9dQU/HZah
V5Wa3ZumlfzF2EIqYzfoDkY9vZpwun0zv0xlTBIVThvsx1am453GIHuxqaBVqyT084tyckjpZQRd
ZQPVvad3yevMFRppXFxT4+uxm+Qv4Ldb1PaxRDzpQaMruGuz5YR6U7bK+8xuAw4hH04WrPMICice
EHcSKx1PvlrFjTe8VtKoKOOdUAExy1arkN53ZkKOfNnQVl9a2T3hs3aPfRCkzuJXHe60m1v5xoB9
2+/92EcrkH7CjtisYLrYThruJIftc2z1IfBUYyqvY4iaj2amR/qSY+28OySV8ahA9tpVQ7ZNzcqg
ZplY1LVNHvoqjPsYnNe8UDgbGIdj49fO1h+VvLKMnE2xac4eEJUQayPPGQqFrGDa2AHwT7SfwjPJ
mbeI47oyQdxNnVdO+3KwJu5+vZsqTDZztAaXbe/GkBt+W1jt8/8Ojj+oZP90cERcYKT464PjIjxW
Wn1UHZd/9PvhMfhFBL+zwv7kLAycX/DBmQvkgvPc72fGHy5ETMfw0Ol4JZ7xx5nR/QVMBSdQbIrC
Xwhj/0aDZEP088EI7yNLD6YvvPMWOaqPXZ0KbFejuR+eZnBHzQqbl4tfwabAG6Cfa/evIio8StGd
6j6pp/JmHthVNz7l4usy0OlWeol4SLsMK4gyx+wS86TKVq5B63PgKU4BiXXqSi0xQiR1s3H8Ebmu
CgOb3Dhl9rspxnbU50N1LSKqR1aVmV/XaG63XmX5+0IE8T70Qm+P9g4LmIx7uGmZgfdzEqsjVSPu
WbcLunFuY4PQJV1aq2LwzStvrIbPWeFOLFuo4F5bse73qbGQSMsqvK8aG/9XYgzjUYsvWTZXb2DG
/fOc4WwhJeh37I1oqRqIQmK1Gd3LEI7AovAh5GIdh5U4kiCxD5kyjfeBjdB3r06Ci5WWPg7lQn2L
RjNs1nFRy9skrvW+syx1b7f2cEozT1BoxTqBlG1qfktxGK9Th050sEcWtxaq5m8iUUZXbT0b70gz
iiVlXVHJNDflcUqalx7F7j4l37rPYr9/iuuuewiCbsQ3aczqy9Jr/wJlkNujdmDYIoSlGjR+QKWi
X/IUprpsZYqEFbMTZN6aHjX11tDZpVHLhmemGFwUusy/5EnXkX9Mup1kdf8+C51fJ0JduNE4p0x1
9Ymn3nxVh3m/Lh2cU97oky9RcIzxcmMUU3yfUfYCRRsEHJ+S5v9bYbTor1Z+NUkvXGPKc3mjmF14
YIT6WiaOcUgdEe9HLEGPNNbGz1mXsNRBTrZAAo9VtS1QJSRgcfoKYfBbGQdRfntUYNj6rO1gbte6
Ela2mmQf7mJ89vhJJzTWoSVTnc8WW0AnGIfvCcco9lTjUupY5hRj1Wlc3iauM65s8MLXESeyjTNP
emUqvzjXHSFf07AIC2XFAOce+QvuJavT6BM+GtNllR7ZX5px4HmK8ApHOMcCVNWiOMz1TIcWEFm4
rsDhbmgnD+6ikJv34OM65wC1jsmNusq5SfKgfy89KzsKBY5+SCkB2fR42fZ2GY9X80x7BN1TXfkU
VGn4YhRuZJxo+mjSbVB68iu9Ai3JHDHo+55HaYhlL5OvHRo/ZqOy0XdSl81nNQkTW9wg3zLg8SBw
p266b2k79w82sF9iTj5rzMScOKMUFgJW2MUxa/1QWp+sXsRXTG/2FwDCZEmR0Kdo7UEiONRR6X9O
PeGdMwdXGHJwFjzOtB7QBUB5De5Tug/yDRpEtfPjsnijXCx4wq3wxRBDzSSmrDO5nOmbQzaG/bSU
VbkN/bB8SSPdynWuUkidSFPqtfNARq8w5tRHvFfdBlA+S1qcQcF1bI4wsDt1h2hOHgbYWbdVWETX
HBDsrU/zHaMN4j1poJbocZ1sbCYCElZdc8oq6Z0c0S64QnywfA4ofpXW3NFAq3trgzF13+d2cm/2
hrOvEpGNGyPoQpt4jxKvJsPFdra5mfamYC4M4BaliCJ1fowmq7nhgEHDXlBZ3b3yE5sP1itSUG0p
42AjO4umIZwdDKojNRa+MdSfcRbUimYb1vqNoPobt+vUXmzip++V45ER46jVI5pMBjeXGV9uhSSg
6FSx+53hx81nd5iGbw3EhVemRnm22PoXW6JdjFqWM6mQ2dFqWMIGYbbxzboAeD5AdiM6bK7xLj4Q
+ak37P+GK+WqZF1Qab9xS+9k11O36csSm0Lc5uxTk/CYgoTcVtJu9qMoHlF49L5VrIsTlmGw0BWt
9YRUppISlN7dNoTMvs5WD7Cxl26zIVOGP6CKe3OVC59UjZB5r6/svHHLjuKXoU6eZyOClzyxSc7E
iw/EErR4rLCzdC+aZqn0Eo7o2qSc3YtMh3BHmEPdu0Uu7lnCRLfcFgEY+tl8ZP/7CbBked8QULzX
EhTRSiRp+In8ffkCYcUHPI+Qf4ppNfzEdoBjVztwWflJXd5yWC9uWe+g6EWFs5gqbJiJlLPA7KZS
gb4ebts87dZjMSU32gw05QZeg4DSFsVNGgj+XDczdrLNgTq3dEFyqeM8WknVutcNScLLPHbm2XHK
ECr03IUPtq/cI0mt4RE2rE9vYA9t15qN6VJikyz2ndFU1D1O4Q2gjfqBBhvvSPhIvFP0MR+HSTn7
sWs058Nm/oyiM1Y4DI35EMmcaDogjRXVJ3rbdKEG/OlwP4JBNV+Z3ewd4wQRrxiwAudawRQ0rUtY
wbrgJpuF98McLi0o5pl0cFSty9n2uNZ0dRvNXrJfPs9HVY3yOkhn7BS24e3TRuEnzPoeQLY5UNUV
zPHXsLOTQ0JK0wBuMNa8juim04QQf2dmathDvwiOvdTtJxVWxS2mkP7A9eROK0pSFTZDHOt8RVGf
0Eo4iQ3Degwd2wqaOzAtjDGEc4L1EgpgvMeYmza5fYFcHZ5nLxiPLQ9GygHN4aYM/HdRJcG7bC2z
4lDuNC8JFQGfBVGwY1sZ9Z4OW8NH8uFWw88v5iFNMgpWkBDeLunT7JZmleFz7XnDJuuk+2pWiX8x
p5IrL15umpTbm8l+HgaHvY4yzeoBgtNLYpYRd+yYJPVV0zaaRVHpmzGegSF4TYwwe2A12Ta3rsIJ
d7C8oKFuxXUzZ12kshHXpgsfnjIKWYqGGSFOCESVAZ98Zc6wIZtos1h6p50Vu96uDlxvHZclXpIU
w/IsTTqVOpW3xUF3Rvzi1JaTYJDlEod7kmHsVANNWUQP3QVrfJZyRPPZVxHoWH3iJ2tCi/GYgoz2
rQnnV469QCiZv9/TfjQ/BXSMPcomqk9Nkzw2pTdtC6spjl7TshTTPfWb1Xjv5gQWQ/3dTuK3tHNf
PTZ1X6yq5QQB3Ja5xtGvXmCkB9fz89tG5tvBLoxrvhzqLVWdYSTpmu/WzDRGKrfJcGY0uGLJCib5
QSEi3VnOQOBMaztuVrWi5OTRd7XaFrM538Uor9AeqsHBFv2/6en/ZXpiqlhaBP96evr0DfJN2f15
8/7bv/k9lSV/scEWIdYL+WOF/sfm3aPfEGmHechmXiLGwyv9PkX9YE8S2jI9sIVIaQxYvzk5bfMX
5BfJ9MTgI8E0ef9mivogY5n4OPGEEpW3eBHb/lhp7EuCJwmS/IHGBJKPMdRvVpzWrz+fvyQGflSM
IBTyiIQVyNQn+CQ+rrARg0yLuMhBpyX7qF5QK++PYUVfG62rhcv6KmfTqzbkC+vXP30f/0WQ/Nj6
uOARLXbnODX52Dw+7J+1BVB9tMvAgTlElDZCMFYUIvYjaEayu9l9yo3jLQqKOli1ZWJt2nlKvo0G
BsEttmprk9N2DEEkTfZd7+drC/IbHJ0qvrR+WsIdypFbu0nV2zaKiNa3HpZBIgib/483gRgeENYD
ZkGk4uc3IZRdQ52h4KeZWQSNNutWIP/2MfGG6amxEB9CmXnW1oDgwrlnrF8HZAusEdG0PN8DuIEl
1tqqpSlH9HOyZ+0+73ofg98Y9Bm4mEE+FonudlM5d9AKizLZ//17+KjxLN+DT4U2WpGPPe5jT3xr
WxxxPPwkiQUxSeE2RXVHO/QAZ//9Ky3a60+KyfJKPgZYWJw+SNUPH5bTy5bhlVfqYcscpq7hy3P9
5kSjZnMnnOifSuk/XEQ/fmEB4oxt8hNHGuU6/rPsbEqYc4WR83pRou64o7SU07In/vt39V8+P1vI
pSrVt2ghtz8QJwKes36Oae2gzCEBip5+r60gOWTtPwEzzf9yuTomNGeAA9wX/uOmkEbwF5jQ/YPJ
+fM4ey2pEh4t+2lBEk6FxWJaxi5Zi6rL7qcekliduxnddvhlY9LBV4XjNHeK2Bmu6p6YFvw0AVGO
wP4hWlS9CsjVPuG3+UQ3OGtxC+ONsYpSntBE/HiRsV6CE75JB4fpts+DOyeHv/80f0XP/vQrIYwK
F4dsLLIadfXLeulPqt6yVdbxrMbDkJJ8KJYMhLekIajRy3Bfk5BwiUqQ9SYzsaQn+PGmBzImetfL
JVuxpCzqH4GLjugFh3zxLOHY3DjBZH/2loQGcKKtkoP5IINisQQPOXUiLqsBU2Q4ltnKb9DRxye8
JOamXFIgGYA7UNKfuZ1lB5d5kI5r0zn0S3qEp0t8KEjpbLGYJwcDdOG6WvImMejTfWtV/iP0oPRI
p3mxKWUDzhx203vMg2ddAAQ4Egkig0NPG+PdTL6lWJIufeg627o3bcibNfhN7RKJ6WSEyVdV2aeO
wEy+JGfKJUPjBDUWxom52l8SNlHWWXsntIndpG6M4SWr3Y2xpHKoVhOPtW6LZ8oss+81LrqRXuqA
KE+A7Q2uFksO9I54fPHQCjfekv9ZvPzHdMkEwQpwL+6SE+r8BBCCVSTDhQxd86Wk9fRNEC0yloxR
TNjIWFJHNNcZGwrrUAg9dSoKoAO5Kxtqz4Pj2BvlTRXWeJrHciDQhMS4wl+0Bz9wvXyemyrH28a+
0li1SyZKktNzYhgG9hiLxWxdXNtLhsr4EaeSqF43EhAg3sYlbyV4vsAqIYPFtt0/6tm23lTotrfk
ltry2AkN195rrcfM3pVLogvuC8zcxrLeqiXvlTGrbqx69GklNEv1VE6tplwI3zGM0qUOhtzYQIAs
jq07MyS/yb2tP3Z5NRE5wIyFjdD8aim+c+XK+m5S+TkJSVkjlGaMtbne6CW9FsO/XSsBvc2Eryci
hvc0GKOHMo3OlJp9jpccXLwk4sIlG5cq93nqsjcTWv5mwKCH3Y0kHR5nf2cpJa+9UQ9QPkjcMTOS
vRNWtNIpJ/puSeZxyI25RZHWk0tzjw0H6spYsnwZjSXracn30dM08ceQ+YuJSa3J1hIEVD9CgTyM
vA2PoWyXYO4lNDgkyUZHJAlVS9WnM1Py1S05Q4VB9i0dWoFY03oopz8iicJM68v8I6goW0lmcZL2
MQZQdpBLotGruFxcgyQjDP7GnCkZgBQSr2JK7CAoxhRsirR8V70dvaSh1F9dr51erF4Np8L3+2PW
B4S/otq+VpRN7emQxCIbiv6osa5djCmjoCafpsgCCeG18lgmgTc3G9lgyCtYSa9GYx6f7F6UO0uY
8VHQF7a184r82YTkHlgQytgnlNcJpJ1VKcC6ORX/MaVssd7QFN+cWONkGxdLL1ZRnzrWVmQkHfvp
OybioboRU5RvwsWRMPdoSwrg5qY2QUIkEU8OOaMxm0LXW9EP5pZ3rE7gRUyCumycsZ9PV0BR2uc5
GOyLyYV683/sncmS3Ea2bX/l2ptDBgcc3eBOgOgzIvtkJjmBkUkSfefo8fVvIUiqJJnVrdJco5JZ
WbIJBuDHz957bdzaDRC9sIM5o9fV8A1/wbhhm7zQcpyq99iZIoArifPhqkyyThXPms58kVfgCmHU
MJ0MjHxVheJuR5QWbEJ65hq/F3g1JkLCj3kkmze4f9kGn+0ITJC5ULPIReQZkNsR6Mmujrz+Q9W1
+bFJoJQuRGAOeQpaLmUf6BOShABED9NpAZNymGezvjXjhT5i9jb7eTQdEdgm/sW0okDTUwN/8yyJ
7zy9GDdWbxqsDth9gBOM7hanRgkFh8PPGF6OjGrb5JoVdNIx6z1WaAMAwFAjTON3dDVge8xSa0sv
iHUneDFwbYVmWgMsPFAblgeeQwMhs4oV1NgcfeZIdRq4AkKwiefvzMDDh2RQvNcrozmlM0tGdlvS
2Au9aPZhqVlcbCvtceY3iK8MTn8JHcivFgrEpxESJ3xdG+qs7pAMRj/rH5UOkxbAkngjdH/TwnYi
6dRU+5a+4NFnXjRvrEnfdw0vBYF3HtjKir5dIbhQe20iOilC4IrJregrE6FmBGPXJb6VwSxENrlX
YekNeBEiUgv1it3l43eydyXdJj6rtgDNm84WQMKpxJvRFYAbFUbf8OyFBYK9nGZc62wHZHw7jcZU
LMfr8f6PT+w/yn0wO/4wCa0FRT+Lh9YGpP/9fxduq5/Lz3+8sAJtWH/m54X1Wg+EzQl6HrS01Sv2
u1WMtp7f9NVFZnJdXYH+f7iwohHq+mow+1GjsM7cvy6sEiibtAheGGh1Npfdv3VhXa1qf5zuAQrC
LMHdudqiYM//1StWU69mhKgPd07NrojGrQK6whgblM80djbzfs/MctdnEWRsVrf1JTIAxOY0Qn1t
QwqkSdkVoJhcff22x0tDVRrxDPt9UYa35drjSl/SXHKuuJDmr8kimzNNM/rXFFAgTKY+o0+EO5oz
r1v7wdwnml29OF3nGEcMJMNwmsxEjReFk3cbdxmGbbK0ZP5nO7vU2EkD0Ye80mftrAMuBThRuxEt
YuVibKj4+jQgPbFWjCluwww3Iz244ptt6T3tktDrd56LI2xLQpEzXtpxcskHJlfCEM5BUz3Es6pI
aeBKyulhaLS9gcFiUxne61hOJl0peUfvZ1StfyrKfV8ni/2V2ZsUD8/TOfYEkbG1YVcIGvpE2G16
hiPCQI6peJpFiaUUM7xqMTeHVIr5/MvzKetLj1ZoJNZJpkt739Zjat/gD7Pe+UTmmwz2RqieF7te
jp2SrSZvHBVN2AyU8Gs52lO9V24d51tcDiNFOjJPZL5WDiIklzsIGAWus1HGcWceUpIwFeCGNquH
3rkhpFhS1hpw0guDoGKc9Sk7aQ/krDEcBZ1HHsCI0UsTm8YlNFDoIJGrOU7NkYj7ezAN8di283RP
u6k2fUWGqteQuWi/z6FOMubWAGpRiCcAy2LHhtLhUK6Rdd/qMe/XbJQ3nEec4yebtmU+KJWFMbWe
fXpMqH40tyrPHlCC1FZPkDvCOBvvWl7xbOuTlK8l3ZebGRYlphwhTi5dT9sIxtRuSZJsv+4ZRFJP
j53dy4RC19wA5MEAzUzeRSfXRUcKpMmnHRipGx5IE0Lty/FLHotJVzsWgu3nyqjzd6NrhIkRvLWp
qmzWEKKLpwWSbLqy2PHHnVoT7po0oxzfe5KKgyz7T3Eqhy5YKmndUzVEprSSdfQpUlK/iVJZ7IrJ
0miwkuXG4be7EAGtGS/E9FBWnVirTpFBpAgdv2hcsGQZ956btWKcpkBirMgydnkcRh3dsAtTNvhd
Ls+2my4nZAOq/qDFb7KeVSrYQpK4dGb3eXRrx6jom17aZ91x2rd4ysJPLLG9HXC6ARnUlNusAbPW
C6d+AQ9/a5WO9bB+s+8Iw+obJGx2O424LCkKKFtmSLVmDTE3qRF9pVnr3ytBcVFlZdFbVCfLjWrk
eK6Auh1a2MJ0RdnRPk2HbB8mOPeoRmi/GiNOpdpW3lMkNbK33ODP2Bg/LIZ+V5pQlx26pM/ZMlg4
0htk4rQduR9WKzKOWZ9mcdP4WFgzecB+Xio83BjOHm1DQpAoW/O75ri0/1ItEO+yJe2OfZe/w1vy
ApUQ/9xo/dx4fjbY8qk2xykODGeo3qU7R890E0c6IWtlfaFsN9mXXtvya9TakeymEZhmjSmiH/Lj
qNPBnVFKFriwNrbhkAJRLyP3MIHg9ccaIpnf27RyAokTfNHxT90IL+6fGSApPuTzeYbi+8DXmn5q
Yz57I7YGKwu9g+bENQs/s3FOrtISatZk7n6d6Gi793I3OQxhVX5lqvA2uc6u3q8LXbe3cyV1f9bF
MbTTRyYIFxw5zeQZ3+4nLFJ14YtxNg5eb4YMJ1Q96gjr82RFju84TQLjni06QTzzU5VHK/Sn1zbT
KGS6YeK0PlrgtjemqJfHCqcHeD41vtL5S04Bau0Fzy3S/OBM79pUUkFvmN13KtHApVuQYeA840vD
gf1mlEtxtwj8E8PkLvdzaVU7kUfdvaFUjetx1J/IBC0ZwUOVNbuqaqNtWzX6Z7fu1UZOffWYSpB2
tM3HZhCnveZLgjPfKRPVD+VQOh9NJCwAG3y1tvSG5UHczQOI7Qh8fMlAfXTh6/iOO9gXo2ES5Yk0
SQPRuYa1tr6hJiM+VZ6qURvoE+0aHeVy9uL5WzKr7skaItiiDQTJTavPObIcq7MgnBrbF4IczqLm
uQ+k0XwrisTcEqvgMo778QKbkSuh2ajzUlbjQw4dlIChdwHla0FimpM4PIIQwnOmC+4+CPyf8nYw
ningqi9O7c5P+ihaMpSQFR+lN+FtcUl10hKRkNoL5RgMcaLfqaHOXgvyfa9YitU9bbPhhzoLk5t+
aib4dO7yIpSc6eWq0v1M++Q2ZN2Ha7dsgTLxtyW8R1yqO1IKNsAhd/oX9l2EpBPZlhuN8CDGNDrv
MATo97CPaFF1EORP5UilHMiYcb6hVK7IaE4QxpYiQpPPsRvf5ETDmzXE9n6e8I8GMGCWk0iE/W7w
69M3EZbJfdQh4Nmp7r3Oi9UedLlw0LslThS/jdpkRwDWPjsQISCZDMzw0JyA8ECHTOTGHadz31Rq
R8y8L3+wkf8Zjv/TcIzEwjT779Wc+29luR6+n8vkzxPyjx/8JenI36DLEZrA+Lbif91/STrumrMg
2OsZP/ISq/vtl6Rj/MaGzmbpSKMZNDyLkfvnhGxSQkYdJjVjrkApWkfaXwWjPwUOukn/rdhC4unP
EzL9TCs02eHyLAl2cAz8ebOZ454Ew6HPB8sps3nTiwrnupWvs0zIE7z1jFSYAU+0KnZjZ3NyGK1S
RzpJ8KAvDaypIM51utObtsutTUwWitUY90rMze/10IV340rWLGahb2RCCY+/UMrBDlVroQ6ImaC2
nRu1r5ktDnZnmevON+KQJ0il8QJvwag+qHZWpzmF80nGRKeDYVleQgxKa4rIibfqCgeNV05olK3I
UP2KDxXTShK9QkWzK2C0usJG9ZU7WvRTuOnj8pA4S/JNW+mkI/6py8TPvFlzlfYbQBHyTH4OpKm4
4k0dCCFEuFfqabXyTymKym8GIqt3SRV3l2HlpIqVmBrqIfDUqoOjSnwgA94VpUMAaYI3LuYz2p3Y
h9NPTx0CFSNgN1c2q6v4mME7AWwF9amvqAISoCvP1TAguxoen7xMoL2SmS3uu5UA260sWKSR6j4l
dXIXX1Gxw0qNZY9dU3MBSTYbYzABRFa6YLV24ZuK9O3s2MwSCg5cip9Nf0UJ6859Jd9aK+qeBOAj
d0+MBYytoaURtPseum3J1f/DlGfGDj4TlkWY0WBwyUlfAKRBfjP1LED+XDByDO2jY1NtsLWvPP6V
zN+ujH4JrN8Z7ouV3d+yp9kzbdzLfiV5tBWMf6G1/Uexcv8VVqy7oU2twKMYQGvdLrCuXQFra4C5
9gfQt8WCoE7LB7wT8gI86TUZpb2ByJVtALTOJJxpI5h7eglszSoOI1UFeiW6IMvS9BGmjH5HXNTZ
hBPdBhi1QW3jTS/kSPFYr1eb8NqH4K3VCCmRy12/1iV44/guQk/bVddGhXgtV+BLjlq/Fi60a/XC
knscfkAXmT4MiX/Ieqj4tgUgd27YM8Y+q3Q233H7thRMyQtRbraaFD1Ya+XDuJY/RD3mJ9FTJJMP
VENIh0RfvdZFWHldX2buzyfHbWlo1qiVUGIagvxaNTE0fG+u/RPTWkVRY9in+jSmM/baVEEyCB/2
Wl8xr0UWCFAE8/e2LGYqLly2bAmhfTGucRKxSKow0h/FGNy51pqMWaPB6skwMmt8slobtRl7TBaL
D4JBP93qVprc2Ep3Hoj8hfHrJBe2kb1Ic0Kw3lqTleOX5Pcfkls4lwYhLRAkfk791BCo0IxBDopK
s94wbpTpcawMIPt5taQjcGd9keWevZYanoYkkSPs8muYI7omOzI0zfRjlnVqKTeY8Epn8WOrNYK5
plccTyHxHtJHSRR9LEQSsYKPBRljUv8FdRFjBUV4gg8c0e6bTPz13XGGg5NjcnW3NGx0WYQw6MqP
fYUm8O5kHmwcOo2ARw9+3nfViYyFiZmyDBE5+B8b7wx2V0sr/Vinieq5zLD6BXpjsi4zOmWQWtPE
tP1njfXf+C6QMtcmzn9/Ut9++6I+t9mfT+kfP/TzlMadvkJtWdhyPPHFXX+9n5HH64rLYrtluxzD
V3PFr0PaZI1FBM+1cbY7nFlIy7/WWPrfOpTdVQT+g9xI9QYgT+RbbHUmM+VaTfBHuTGnHwp3Wzyc
zWLxhhi7NoIu854pm5RAxuAkcoYik6y+OK4qWOSy1S1nrb65dnXQ5YWLma7kj39Rq8MObIJ9nq62
u2514BlXM55hKm1XLkn/BmyvoMbJwbZHXKcn1+Umt8bq6suuBr969fqhzLWBNVvmbbc6AcPVE6gP
boHVUC/vu9Ux6F3Ng8nqI1TzOJ6IzGAunFafod6M4YdejzUDX33lPeaxWzwqowNYhEexdQVuxdW3
aDfW8ogdUj1CHAh3nK8YBOkq22qj2Z0y2nkCiH8ZLSs8QTKWDq5oIErPPZWFnx2naA4JhFc4Kgsd
iQ337XuKyuNX+rN7HsEqrTdmNBg7L3bY01hN/GhNdroddDkwVet0a6to5D7etC9k53mzsypyuOqz
+wl0+H7PZdcDNRXTl2yaiLiYQ8a4rg3JuUlKIgFlbbWfknLhgG34N3zJs7S4dcchhtAXLydVSIGN
k+3cJh9cJ0jLDJdFGmrJPTGp9KDl0d3IAbVz0inbLLGVBi2C9EEfKy7+cdmfS00kt7EoIGl2xTg/
cYfpdxn+46DDIXrnqqk9UBVWXpxGH89cXeaDK2zzM2yz6pR6onuC4ZujwkGW2JYGcbdVFXSPBJH6
y4K3btcIR9uUYV4+aJ1uPnWz7D6anpF/n0EKPBtDn2xsVpWADi3t1kycXcQR/MZnhQuYmLfH5cgt
3kwiYTvh1uWm5FYFFSxb9qxvtK1mqgnzdtvegSSpzunUTYFnDklD1GmGpMng5b2bZoplvVFI0z65
zRJSQx5nW8ke4KFsGXJ822to0QiLxS/0ati5LbFFTNCfB2Nwb0pgPHvsEfWtVLBae5QxlmYL3Y1t
NO0moXnTdmBNda4XKQ95VLsHLrv5t7SM0nsmREq/s2i5yyClkBi0Qu3dJacBLDVqwQY3o51PPkmX
/qZMbIebRhyfEjbAiM9hyrGcW28J2u8rga7pbHuZTlFa218Sp+aUgNM6PKi19Lm59j9r1ypoK4me
PbA2d2siiwVntB/W6uhEbzsM2GxxM8ukWbq/tkyLtXAaoQ8MfbzWUNvXRup2hMvvJ2tRtblWVuMQ
oiXj2mPtXjutuauzjwaNUnzgNVKzgQDIVZJS3eIop89Kq/ULOhB8DNhcWBXX8mxQGs1dsRZqq5hq
bXst2c6x7mc+z/b02l5buCe3n59wZ9LNDS5eg8lPYTeboOLUL5gqGfbXRu9Ba6xhRymHfpeGphAB
sbu1/xsaywdHlKB/mBrDOpBNE/ImSeDVLEX1Nb92iTN+TRdzWRvGwbolaHMzxeOwmOnsTHFChSz3
qSY3ry3ly7WxnJFsKQB/1dODsVaaq2u7eVQbiqrznGiePl0Ad1970M0ftejsEIAtrwDitTJ90vtW
fwp/lKlHTlF3j90asDlUwIKT8rTURkv0DVBxMdUbSTPR+KTSKXLfZcRmtwxiJ9dH66UY0rFxtsTg
tGyn9X2Xfp0RJEQG504oxcHF4fbPjf0/3dhNsbqp/q85YPyfy7cpef8z/ODHj/2uaK2nOgF60wN3
Tx81h/rvkwC6FagQoJoGChUZ+9/v66azjgK4kF30sb90CVEzxIPG9CA4zcmg/S34gfUX+5juefz2
GNUwdKI/gJT/82TQIHcsY1SmZ2X0yfxZsm5H95dOJ7c6eLXV/zJyJ58xzlVtoR3XKdpSAY6m8lCN
iY6ZoZ2/KohGvBD12gomnqPlZipt5xtwW/opOS3V0hxKaMwoANT8jbN8AhyzuH3kIzgZbLBzyIeQ
neeId+A2W5Y09u70ROuch6HqsW5t6RVU9fxkliqEHDMOHUF4c8wTovdSI8Os4kovi1NC7iOYXIcY
w8BCe2GjtVjZFJ+xYje1+xQbNAuyYSAhiPgvCtlh+oJ3VQAYhFAhti6nWq6/Jo3TLf2eYLZrFASn
i1K/SUSCW2PRm/dYa9XOaer53jLykrzLPKb8qD1ry6e6BNJ0+ecB/K8G8bW1/f96AO+y/DNrmD8P
4j9+6NcgLrE5C8S+X3svvv+/P37rk2nb9OAZ1+eI/+vnJH59/Gzs0TyTa+b016rMpOTCwvmM9MHC
DC/k35nKecD+PJULnfEfyya+WscQAH3+YhVVQ+aWE06xk+w0ThqZ77p46ADwdy4mtjKujpYXcefr
eFh4LJTday9xZ6U8LraBEjhpCg48uzQvCfcanFj1jBST3+B1StL7DhbUJ9phnI/WYpenWLBd6sbU
YBGF2blBAixOOKDAMGcey/khxeVTN1r1EaNYBTKgr5c9W7Z9NFIPFS2xUe+KYVTex4F6UfeAhB35
qmtm+20Yp969nw3LgcufxGcC3Lw+TJ450kqMQmAN1lREfw1IVDj7ol29hlHPHXnFLtppeaHLgJB4
Ek+kUBPXHG+BAbIB3eESXOrbihQxdICpVQ5lNXMqwwNYKsa+bYGcQVNDyfsNRREtwTMsZDv00lvX
IA0x+mHO5wlibC76sQlCLM7AwBiFYHazFdTfxzFvIYZlcWJhEMrQW3kllGlFE2fRKzJCvt2X1Jrj
F9EKFvoeOFc/dpdGstZM4YEFmT1EZR3QC2TETka3GdDR9OsSYsGzGKIh81l44ahToCSCS8HeyKZQ
3dIaph31EWFBRz31wbqB46WnwU/buDzGmjbsI6s2njIaKxPfbHVqe5mkHkQ+WjsbL+RntGIKDvI+
D+ZsjqnLaqlyoPj6jMxl7qtWFkdMsv0+KwfYlE1Z2T7unv7oDhOpkZiagqKsNqYdR3eW4ZWIHvm0
sZk0EC/AXaQ2Psx2AYirirF4xQoEIy8Lc9dfqLe8y1P7JauK6MGMmvZ+jAfnAdlq+BjTWgWXlE4H
VcfTA9+HajcPVQJYYQrvc6OaUbrq1dPT9/iYHHYXo0icW8/Lwg8xmdLDFNvanTaF5IOI6nm7wVHm
OcS6utdSLVk2Apl7/lA3Lli7MLdfGluUT4joGUvgMI6mADqwOQUo3s4UVDPdFqUybEKmXVtsySN2
xxG+y37Ms+gDKyPzxlvQCIkKW+Oz9EQLUqamy37TM4B/F+wAGcOdhUE7qjDmZ0aFJ58THVQ08S41
Ws8pjQJt2ksTAXdyzuvCEYRgQpsutVj9cNdHkXFD5Kc6SAk/pUtn/q37vFUPAF9KttFTid/Sqb/g
BHwVDesruszdE//SxZYCMxnMbU3Ees6nB7yd8amUk3qOMDS/9eZSFGuLk/GeVkq/0ZYSEkTTmM5p
zCdvJ9P6GzUk4UFY9EChVlMzFTrpk5e5/RtA2/x1hs/xao5dsjpY3Oy14cjHfcETZmud2usOi3PP
GbtdUuOqqBD7qeXL96jihOe80jqNUwvTvySXzc4dGjLZwSTzF4szHIqMntyXYTrRqlCDKiHwZPIt
hskdE2jP/YQK2I3UmnlbjT0xvpBLLp9Lh4aax0Gk6QGX3/FU6V65QXk1Pki6Xe86Tb0ki3pKa835
Olk4cnzdW29wFkY7KzDYQj87KpU3BfflM8vc2gfQFG6cJDp6snUu86gos6369mlBht5YSq/e7V53
/Xpcqnsz9JYvzZpN94XGtcwrxhrHQSRfolhagd1QX7WCs2fypl50kYboP3YWF1yUXoh7hY4VWYgF
/Is69UkdfW7NOPmWj0wp7dCcjT4ct5Y9Tpt46NFwAcMcTM0xXH8ax/lsTCttObOxAnedofHEyVi/
Fc2k7RRwDsrJgYg+ZGlLwrnuhLfNkUBuhzbB15yHq9M9Jmw4HQzucY/VKFsX4OtoPiGcuF+ykaSA
3yc9nc7Y+QHNhvH8KLXQxWFQWp97S1U3nk2XGxE4wXsOAXu6j0RJvTe0IBobRoCdDhrU88xu/dbB
FTn7UU/2Fq87NvU2iY/0NhIjrIHSnVex5Za8XcZX1IKfrU/vDWfeoxjt+RhpYRvwi9I5meJ8h+ju
4QmU01nr1t4/t+bWUynre6XJr0ndGGfhDC1adcONjeLubaOwsCQFMi+eA/fimVl2RoqFJJIu7zEe
RPYlEEDkNL1Uunri7qYHrlAxDFEANAkdhrsEMtleh1r70AhVbTXbQAeX7dgeIi2+zbMh2sk+CTeq
VIKZ0JL7lNXEjuf9PV1K97Ex6DWO4Yw8R47gDRKr+jSmGS0MmOHzCwxvwCJtOeCL06MD0ISZTEIB
5Fhiynngm4tXXvfG+wT8/NdmajWqLWqRM/ZI90Nkh/LEn5A+FvwPuO1rvIt5ZhX3RahZu9yYq6Ng
FRLogMg2c6snZw2wNSj5stp3/dRvZD91H/ECkN13K5CWTvapa8WXtKkz8I3Gch7GIuL+3o7xPd7J
Ai9OBfahwE0/m1P7XbCL2vZi7p9STAtbiM4050aAsxDr3A27vvApIe5yCzus24+e2fCnwOhC94op
AIB7yMqU/riBpmLtOPY3pNXjwCrHL0qX+Sfi/v0uovTua0G79xa8LP+urvspdvNvCurskSCxE+hO
RueJxX9BqfT8GZMfiYROP+ppLjdDIowdre7ivNRa+u6lLoGjPNb29FpiZmjD/CHtctDGUPx3dZc2
x56BZNtT33QwASMDXmDy0ka4t5kRDzdJUUH0zyeIG53QtI0+U6M44Tremk5bvnfWmAT82Z+p0BFB
P8f2YcS8GiTWZZFjfSjpn8ak7Bm7SljvjV4/9IAj/JJFHjb0Zc8rWsNIp70J9q1+HFPOk0AA8e0c
y0mmV7dOrR4cnW75tiHhWuD1wwawIqceXfo3TtQdRLsSz55PfyERkaQ04ALEp3bJox0a4cUsNO3R
a/Hv53bvHaCMRxt46w+0G97PFAXuaNgk4ltpWA/ymZrXXmzY9Ob7ls3ZpltYrsmocn0r7ukTGUwa
0zXHvNO6yfB5tzvPnSQWs6RUtniW+AY4lf7MOS38pAAhYCS1xUGWxZwHZv8wGsJ7T4q5QWDl6wcO
+WBPQwm6FTOP1+EDG6w1p+vV/XEqlEejWEQQJ1ncU9HND3lifYLI8fLPXeq/uUuZXGi5yfz7ZcYz
9oNvbfvt2x/duT9/6udlyqXmw3L+FQr9eZHydMQOy+TOgS0Bb9lqSfh1kbJ/s8mJ4gIwWDOsMdN/
XabkbyQyWTWz5LD+NpCHWOufL1PS5SIFdZWUGhsVqvb+cplygPRr8WiVR40Fuqj3A/SadNjiggJ4
z9feFb6gDX08dwZBoKLl/MYDZO6JXTmHppCJH1ohAyK3GHHbUgn3PGV6trUTHcp7ZNMtNipzW0T2
9FawCORdR03KZy8qxdGodarJPGsMmjiSW/yZYPbr7jiYbbQHIxdtkCSaQPBkBFBI+v086DoxFd5A
zP1Tu7NijG95SSDST+fqTTLbfi4xsh97GjPhfts7sp3ORifeEgxpEt3BNnUP5ZyQ5orZdPtDK1EW
UAOrt1j0zd4A8naix4nqq4jR90voOnXsT0WNy6pQUXSpYBG+ZGnnIuIs+mM/KkJgOeuWXngXcM3N
xi0oCMJqxsRhZtSskTPnVdFgOUx1tVcOAPMxgXnMIPhQ1RWTMFjBHa4rVjKsbO5KxztFpKusasru
ydzgEwux14l5dLfAICu/pzHuSa1+yLGReoAiK8EcTO2xbxftEGqLOEmKS055S2aCVsUliDXK5lqE
0EtjE5jZNq62uq9HQgJJLbcG9+xzhMV/L2tR7IwGqoC+tMsDCbP24gAB8LPeeLanYnqfEVC37ciM
GjpZ+7BkuDLY0eY7u684EOqJsShJnS99OLGBnj/BQGj3ojbTQz9ElIoZXvhhcJNqx17c/uomeL8v
/WyklwhbAcdYjQ1ymrpi6xb5sEli1z20QLd3jW1gbdBXPxe8Tz9ygejTXut9gaY8fmdN7O0WNCMX
JnVRbnlu5IOcxzY/z2n9wks5fYHzPH8m/UGErVws/UK78nDjahwHVaHzj5x4cb2tI5I5dDNTcrdk
7inEk3ZniqG65KN4iRnGoauj/R0gTWQPU9XQI1PSkWXwFr6RDTEfmEoyVUEitMI59BqrwZ1qcZBC
6pEZ00M/jScbHGpaGoOH52Atfpa1GxhgChCqKqM4zD2483LxQA/gJNWxDRs0GppsE4xN2gD1aQVg
iclYintNsw4e2r9PgLO5KNv4XOWNE54bM5/iGyaiVxv8yWPBMQ3LUWjHNullaOzzzoQK5Q/eWHrv
i5ybZAsaaLlbhgkjeG+4xTsu6HA54yfmAt/1LxYXzHskxFj12xzSpwxb6D+qF1vYKN5prBwD6GPY
0oJXx3b9WE9akY5BMg/RoZZOpl6MfJSAa4hvl11M37BTOSeWBm6rbQqLVu07XpR87sVAfzbm0dJe
Z6ZQpz+3GbtAr7XoFkQSvZmQnY1GbVtrFg/l5PXh1zRs0EPXEgXecLghpcYStq+e+OZa7BU8Nhi+
p6TIKFvLk9rXOy/9grd31g5uOcBetCoyuj7lC3iUh14BswunuJeXEQ3iAyxx63MGTpdvig608Cji
jutC2YzTPXRQ+XWWOBP2uLSG+kARj1NuBvyymc9NIPS2xO34LRk0uBzg7xbPZoShJaDThescCKJk
z7uP35FEGhcHtMci3lAulnLhowWH3gMsGpUdzH0Tm90NW2BLp9J34MB3Jidi2Vzad9MANcxa+WG6
ng9wgyw+48AW4fycr3AyxbJZXUHyXLIKb9yzrbUvpSebY5Z4PPeTFa55WeyTRm9SGiSMeE9jnbuv
VjRaCSNtudLSlLAq1M+1ubGunV01dnDVGLodHqorb61f0WsdONmTC40N40W6PqvIsYL461ZFlant
WPRisM3pkbYNnDqBOVraSnArb6EaYkMeHPsWg9vwEQYiVDjD9G5YnNFHjgq5ySYZ7TvVLcS1lz7X
/YLw/3szN184o9Qty0manJyQGw60yTUy1+hP0SLCHflA94WgWPsgubhxOJQ5HWpOe1d1rrbLtVk/
DaUevoPVsu7nUGxax47YJ6XhAZSc/pY5Itm0cN8/DtwqK78LjRpwWDPdOPTPXKTFTRSOPqG9cU4/
xexVT1jFoUmic3ZaKTHK69i80K248aT477fpHC73todtmxqCfZuX9cviVN1xtod+L1S57C2W8aix
AivU0moD5eFkC8COW+mGpIR7k5hrLM4wQXQqVm0jv//T5EmLAi/KrSMcwvf1HGHLXVbJNvUwGfEX
YImYkVZjQxPzalzkm2k2FGgMBIU/s7fvLsJZxDcUhmpndYu5JVIiDnbbmK/Yquut4VXRpqaJcpdi
g92qkpaQTB+bDz3P4aVXnbpf+RVnLifUS8RIJFk8JfvGjIfbjDLDgOW/fcDa+6lxZXKeGcRfQyzf
t2EoPH6R1mYSoLKemzNp0aow9dsWaHsXJDz591bqTHucnOqz65R4HYmwm9PSPajWAkcnC9c+FnQG
PND+vtwIkhlfRnC6fj0V+jYjPnqk4vs1VJCXRcnKARkCPJQ2m9sE4A+YBaG9TWWobyVryYuVJDqs
zHZt31IRPZz0fW6kiOGWAi56QUDp3E2PL7j1pTNtPS5EfjtMNiZMOieCBXsVoLfIoKK1gBpi+3r2
o8tL/1HtNfdqoOcnTKzPeDyYKWQMls/RU94ECtooN0tKtWLniaiwG3HkRQWJqOfWJoL08M98/9/M
94a0bObufz/f38FOrMo/Dvc/f+SXUEm+Dp8SlBIaPmjWW8EMv5QSQ/5G4wDoDPxMLmImbqZfniUb
YzE4IsZ4HW8Ra8/fB3wpfvMg4KJeAg53JEfW31FLmFX/PODjooKkgpBj4WG2XP2vCI+s7Zds7L3k
Ps1g+HqBCWmk8VWU2XdeWEsGJbtR7Z4WXjowOLFIF7JQT2x6/QipTbcN+h6OAOI5fgt0rDMf2TSw
4Hu13EHL9MCmzNmvhzI7gMbVx/sub/SvjFTU0ftc/hM3UCJ22dBgaWbGqUiOu8O+8mS0LeImPRVp
Kb6bEbKNz/Xd/aLBYwgmZP+Tk8mG/HGE0ahz8kfCH+Gew3PZmMSYiSgnIKNL0+57BAzF+Ei9jcLI
aUrtxdG1Ly7dHMwWjLolBi8iSPRCJWik5ymTydHhEv1pXEnGks2D7fNKiB8VnDZSFdU038PYCT3i
ZmOhtmbN39h3+//P3pk0t42kW/uv3Lh7VCAxY3E3JDhIpChRky1vELJlY56nTPz674FcrrZU3a6u
b13RER01yRRJIJF53nOeM/dAkzGLBL4eAyRkBgT5a+lPmZzPCcPVh45mz/RkG1ILaI10rxMUm4ns
kYwT2AYL1cWNY/bOPvyWVaf3icL61PdlwDehPoaK476GJksxlwyjO9dCUwVvoJipKH79i8QJ48M8
SfkRPCYSnGNJWAfsQDc+M+ISN1RK3sol8g1/nRTlB9WiHkfERVAM3bG41LpSr8gsEGRZF+HsUbIx
ucPKzBd8INVzAOdcGVPCntpd11L/66onOO2Nc8M7MfS1AX9bEiKPZQCBy9x0+rKr0dL4m9vm1iaO
kmzfJdawnSLTCewmAWRQxe65mQHBr8o4iwJD9eiwToGRvKLDhbS0OGu2P9GyUziXoeUqWGyt7bxM
BEUDyYjxxBRwBrypqiJmMK0gkm+bUquPuJZTdaWXAxnqS3gEk1cjr5TgcjZ8EHQDkfLAXWNlDSPB
uUyEtdJNrE24QTl5AAcpOuuIMZwWwhXIbc8jxYQZ0AoKIHLmmYWd72oWo3tX1CU+VRd+Rf2Yt6NL
AXhFKk3FiL6rVmfWujaldLvAoYUHd1cVtv7RqUmvFo2rsIDnLvvt3FOAw0YcRh0lyRKJV/OS48he
7eCE5QS3ga3zKuumgfEF7I4LGREWXyzZJe2GuaPHRPeZBO3xJuRssyjkImFJ/XS/19vC3UIjSW4S
qRDR42aMgWvjMOLO5hQbrsxaJX3QpgvfoQ7rcTzOGA4bDLAWNc7YY82gHpfIpl5q7bxKmUngASz1
pFu3iFTulZwLxoudre/azB2CODIjfHxstkmNu4jvueYmtMJV+bgd2coyxUDgaIMi96aPBlbAXQ9F
Nrq09O4WzmA6nyH0f9Fmv+SeIo0r1x6pHfvUVwQhtuDYi34bDZzqQU7p1spTQ3w/o75WO7gebbnj
H8LEwGkBMpaVSN1Z9EpWF4bt9AiLeQ6sNtdjAz4MHqcLs6rbb+SDHuzB8Y4mLIL5bswMduwTzunq
og2VDLxaA43ddfrVTLLxbJUT92No+WmxSSNWM5vTGJHgJt3N0vQuUw0YJKEfTcqjFBOVCWZXzgGv
hJ/IC7tNLqJlI8p3VW0jpiuBMVvmWcN3RVv8EOcBmz/jUDmlvzG9VPM3WlKz+7diKe7xwyWBbuYG
33NmRenntnHT51TvtQdQPuPT0pjY0s9gWdxrlhwDzvjILILp0wVChbXGu5p2G3KXUXvgP7AGpjKA
3FdEWtgTrhxvLuJLYr02Rg1luXato6HkFBRIFP61ga8caK3TQsQox3rcA9gxq02I0zGiFckuOB3B
ZBhICGJQvBeQMx7Haf5gcQn3q6STnGj8Ujf2jje5Z8cmyxL1oQp6I6bfnryuvoEVQiGOZgNLpjpa
3pZhZ53ywsDLzQSyEFdTW1VXcz876c5rKvNj08uPEQBAf9VzhBaBSBiqrsdR7zvseKkcroq6gHSr
RHdLwy3HcKJ2Mjrjyw9bY4VjR81qX5h0AeLm5BAQhZcNhGTvZHmZ2P6zn/pv9lMokwZQpv+8n/rA
Mo109/OG6vef+bGh0q3F3sV2WIc3hgcFL9mPDZUQ/CuET9h8vwP2fuynFvYeG5wfW6alcOUPD/iy
nyJYtZiTAH4R73oXzPpVUOu978vTbdY0E5XewA7um+zbfnaE44yAGB0202koXiIYtHH++adP4/dk
2P+UQ3FTJWXf/d//LgSrN5bzdy+wbOd+Ily10syLWvICXurwnCpWg/+cjKfEB+798uuXsv9kb+eZ
Rq2QATAMC5utvzOxcaOI3M4tcZXaudIZRBcajUbQTfHXoTJ+6l49lDEPkF6HvPRqsqxyW2G51E29
iYqXqqk8NwJ4xbTVd3c0xOo75ZXD14QWqqQ4Dt/JAfpCEci7V6IA7cPq4JCfDe9V02/ThUDQUTdy
kzYVWALFKRL0rrFQC7xXgIExOhpjXSZGfk8irqB8+K7xjWhswV+Vo1sF/BJEXBKyNnjwBuOyFXXy
oGQ+HPKwGTiIjSqfcOEkeFoOLk6gAK/5fKJU054+wSTCXUenZ7LyeqNlcsaO+trS3Ho+pL0fa3eT
riVWuTHHiMRRTaA77WW4sLbRNv9ZNf6rVUMw5fjp4v0TAeWuGvr4f9bPFA4lb0Eo5EWWH/198XC9
32z+3nUcaCffTWi/rx2e+RvnIBuS5R/2tB/DFvs3g5QHsqEJ+YI5xb/WDtOAncIt7zIeFXjhCID8
jbXD9t/dcBbNXNzenOo8fg/BcvT25qaek4KfNKn2EiPVtPEBaE3rEtjULsZnuQX3aA20laTemR4D
VGMjKZMTsa8qGIlpeOB4BnGfhon5AT+Luqkco7wbOyf8RBOdpN/TZJjqTrO9Rw9iWO/zGR3AMlUB
7anssCbJxjvANAf8LcZjR59ozsCeVKaG+G7ZJjbxJm82jZ9QB0KMfBJrBH92+zM2t29dgS+D+Yuy
tpnWWdcxjSs3Ge2BNNXKUdvojWZC6Ac5jIHcLukHNWNYWYjKNTXyirC71mIr7w02ZENhmkQoPfPC
l4yKNjJH8NN5OPtBU4T9V14FfHdrldBi6LbtTMxFDaKWy/x1Q7eOeUFLkEP5PKU9GY75yd6j9/nu
xpz14lvCF763Q1uyg7WRRcWchC+zY4OvysTUfahnDSNbyG/2wcIq86GcoIoSD5A3oYQvNQ1heV93
tM72Hfn0A3b9yMYWYOic3WIif6RGcxGy+21Izs1x7Z1lxu/VODUfJERFuPOcNEKw/ql0KVif608i
8rybMK+QiHBR6SIIfYjinKWmauvSr7uyZ/dC1kV9nYnGv7FpiMQRyLq97/j8tiMdQEeCe8y343g6
xgPDchmPRcEQvazuhGi8s2ZxtaSUI63pLLf3hQCaWYStuA+pOLtIcE9dUqJpXcjBra6zthm1u5nQ
4cZxU2ZGkMbXTZ4NVpAgJnT7WSt63jMEEuoKms/TXDRPLV0wHwgpc2Tw5wZGIfUv3QvDDvIJfdyD
OGASc5YcfCDVWP6d0SbRWZozLWC+xJO2tkfzE0o5ghlXnm0EfaxNzx6zFgRxNMO6Nt2I4k+dc4JM
y2QPMqufL2CQGrAnw0E7GqE2TuuJkquNqUuvpEyUZFJ/Edus5atoqodbWrBsLC2m9G9qTxMmgHPH
eSiJOF/FWEUmyjlyC8sIxIxqxpgE6sGkBV7RHb7S0nSq1Urjg2j3yoay+9RQPUTxmY8LEhKgGfL9
LH1m7A2GZtp4rudtI3izFGSFVav1l71TD/pF3jQq+YBH2+8vscbaeCO5fD4yXNXu8FF1HKXDK7co
8E6MffeBQeaJrvHomA8FFPAU1QIkvWEWlaVdRoXOUMElO/Fgm5R9JfNSd8HOeBNCf9vywAYNY+ow
1uZoekywAdEPEFdXdLk1m46wRDoIfI6EXCgOSg3hwQCLp0dCwZGz5/bW7ksSXrgsWiycg20WNUZv
AbYuBUhGwginaW900Ytd8jvslZ4QXkEeHgLVywURqKcX6Ld2oPzytpq9Y49rjNo90eFGquTllKTD
xpVJvrF6DtTUUu04iWkv9sxKk4eki8J5Jz1wZyrhuEPw3D1hS7xD448CN5p2DBDsR9G2dDANiD2z
GqrrydNvoU0ZKypx+dq6ZWJr0do95niuvNrB11HSQp3a5UEv6+5rqtyTPhvhE0iPaS+nJr8rndG7
TseqwwdKPa0F6+IGzJO5XVqAV1MSq53FLiFpPIh2FsHtmNKBrRL4JaXGT4mMdu6kbauaNur5qQox
0ancvZ7r9qqfAAziax3XmVm1uyZEW0sdTb/C4TRdOx1uUI7En+laanYIE94mCVW4rWh7w2Zlw/SH
vrEHmYhsNI7ULBSJOKhcjavBjT4tdVdBJNCUMleVATnBapVTgv1hSptprxdR/0Boq+fCmLRd1Mpv
Q+vkOxWnagNqUNyPwgg/mZmtgTUMY6pJU6uAHuwZ+gUk0Snbm4VlH8omqbe+jyl2VePC3dVDZl0y
jyYBpmnueahjf5fMPJoojYXVa1vYbkZndk+qa4gajRgk043XJD3GmiZ89BubW9YuQlAqQ3xCGwcM
WmUVsp1Mso+1mxdbMYzQlhLD2xZd7+8q8B9P9RTqH7BEaZt+BKpRTeV8wlNcHVQztZzmCu9s8i+u
Okdq192SYIoahH3hk8ajX9k5kfIVAHpknzGRkWl09LPC81dRaTfrvE/YHmaGWVEJyaEysCZccnZv
VRSsC/NkYvRbcVCmeV5DAgJ7HNI3XrvZJZYxauNqbGANDvLHvtY7rL5d2QTJgO9RN9tbJ0yrM7MJ
/cS0tQy8fimBzbkMrGmrS6NbSyYJUAVoyMaHoKFBuOlXE/vx16Fol04MQqdr/IcT9CfLUZeMKnwT
Ql9DzowD9UNFAuo2xpL6Quwr2tR+4x2b0Pik+cO3hCPYR3AXwFpUqa87y34oLVu74p7K1jTYLGBf
1rlZNeEDaKidNNNPoTN8YbRq72BH9dAKsa+jln1Uo/ID0KVG4LrU9lDGsRpN/YKhDnWUwqi/YgSB
KphqVWB4DPpHYyirNfR/azM7objJGeBvELWycymcUxlRg1fQU7kpSCMy3UNB7ddT3E7QuEUxnyLV
hxuCJS8gwe5VFbCVYn+RzOB+J3MEMCYwM4DuxKfInIcgqt0sm5nGW/dWi7efp9wGWC01All2r+Hs
YHTe6Azk3GRPI4L7tRXtLUaLbyF15F6bNGv8WU8l4Tbscn2yw73iXvqM5o61DirMNZsnFOgaLNdw
SXYSL0TM1ItYDNJPNII2k6q4MMeagB9egtQRD8mksmPONY+BzRFb0XY+RDcGsrWe7gDJ1pdVL++s
Oe62gvnYKh/hVDL4eenZfzIgZHKNOjiuE+xp2SosTBXkCp6R7VT9SpVdsYVAVKxazfsSRsZHnAPh
k97Y5jUqd47N2MaV2XNd2V8KoxBI3gNl3CCzDtCgqsPQGF/dYlqzL3jpsNfEuPrzmmlYN+29GjtH
Z+EJSRrkw9Fz4h07FvdW0LfDUXdKtwhQ8too3RCaZHXZ8qVDltsleG1j1VFm7tZcosKL0EYlzUwi
FSezTh8klOHbZai+q6fEHnD0l9XtwLh3nXY4XOAb2djmVxaP9KPGVC/onPmxB+C+bDYbUV5T2xet
rck/UEv4DQV13xgFeQJNvw6n7nrOoRrEPVJl567SuvjU5kRH507eT91wU4se83N5xW4tIcU7K+57
/ClQkjL2gEMEro/bnCAEsCUbbZBmcdeyj/SQekenaIgPIhYbyiXhpWXFfGO0ZXb45+D3Xx38LBah
Xx38Hvrn+I1W9P0H/tCKliigzoRN/3E++5dWhIzk6JQlQA5Ypm8ILT/EIk516EqCUNwfKtFrdIns
IAfBJaC0DOT+xknvldbzRsVh+2fq8N45bjLme9+ojixCfkNRIeqXswZJzGNXqbYUnuInKSzzgsx6
xuIeRfWhsy220Eqx9GAgulFN2e5bfPTLlS4hygwALhMhb2Ol7BsQ+Z0OhBtGSMi4wpx0gsh72NlW
ON1qrpJlg6NuJH/9EIeShoT9UDDUcaKJ4s6VnofatV9YTIKqNmVdwnckKu8bPTYqGfYTx2c5XgDc
Qlq9CPH4ppcAF5rxrh75kO+0EpvPprZgl2/gvrcM2F+1Eo/CujXIbDpZoxoxJSoMRu6RNav+lpx9
sR5IHJ7Cooh3jWvMJtVqDiyOwkDRR+7f86YqatIG7fMUF8k9WcIWk34Rp1isGAhIUgczt/wWIWp4
9gVOXDx+rFQkvZO1g+tu7VcoPO7alzMLy2XKM8V2oxVzT3oXpkkfmwMBxqIUxPw9eYqjbNQuJEl+
UIUoP+pOU2KY9UCPsnQxBNe24e4MpnYDtly96pu90KNQLDaAbGyypTOGNrurmukU5sNVYRtGMV78
syL8VysCyV5E1/8sID8mbYTs8fxmVfj+Qz9EIAQdi+QwGUTrFfX1LwUZFQhKCAIMSsxSM7HoxD9k
IP83wryIR6wCjkOVAtP63yVk0/mNP402AsoVPAPCh/N3FgdX/Mlzy8ubDPgdcjWoru9ZX3D/qqoC
9rP3PKL/E+IIQ3LqPGFQq+aYTOYGD8onVXr24oKJ4gfA3zz9qA0+JHE0nMzKSXC0jebWdkMRbloX
ZwylYTVOr3IpMVSkWkhAXzRhfx+CpPcW/9gz2AzumIBKtOiBhFj5aFD+fVMXE3aTEW3mxQ7L6lDF
tGBYMBmfqXTKmb0bnf1s1uTIVkuVxmPvVNrXTLrygaNNIb9iVPbd9DJhknKKK3fTUknmRTI96GlW
eztnREuZTAtq6SrSBus09Cw6IMsr7V6zbByV7IHGTe0xzXM5nK26ImksTrumPIlWssmmc/JTTlmm
ceioc+FjoY92L+QUkbsUw5pA5LK0sYent28i5Ac6g5K7LvtsFXN5gJ4OR8mbrcBurexjm3b4Q0Vo
BRoa1ToPzemRelu1mCTx9lkdIPcKFYY2rVl36THmfMSiqD3BMIdnD17qIdbhFNKflwOSncfGfaw7
zvBrlwMIuMcWOQhQUgiTJfSjPFlTrdAb1w16XrPVkBnvW3xPzwPL6EyAYaqfrMhin7GEg+CpLJ8y
5O9oFVe+uPczXB2giDm0RUlPljOvbf74nqz10qje47jmDDys3b4DY2vCfMA5a3O+W3mxX5Isb5sy
206UlR1Em5Neev3LHBYUdDTIp86qGahBWau44GdsU2XusS4pojHozSzWdl+EjynTsWT9OjftR2vB
R8UY6oJI2v6jB7YZwbIP/UfaFbBSt96ilixmy3tD2LyNYgGATG41cMTvfQaxBHGfa9S+bmf1bL9X
YFLmg1+SDFypQvDUiwRPxtSaFy7v8qFg9rRoCcvmPL5k4sovMGHAizbA3Ph0izGsnwj8oXZG4Ugw
iH5Bk8Jz6RJz8VwU0lM45rTydX2oRxd9PSYzgcS0f0H9YTjLKZWjP6cGLABUO+S7PE0ZIJP0GLsR
VyLS/8rylqJvycyCEQFFOzQlGxmfYDtJ/snc0IRkOfT6SBnztcxkQp4cCvMYMda8iRDd58ZLRuf4
+oqOC4x6O2oOXPoc//UK+iafbzpFSw9g1ntr0wKHyknUGOdd2wrrWScR660xElYHR2/rpwY/xLhq
bNnuMYra1pm6VX+TmYvNITGTtttwlDNNEKEJf35k5rwtRQ3CMSb2+cFacpSPr7+lx0M32ufKSkps
QTa/rF07XGVMgcTJb/MSVTjrcBZ2zlIJnhVjM98hbVR0reTLV2roy+fjpUrvTr3ylxBcx8m8rfh7
XyU4XD0/Al6gVTTR0Mm5TOwhduzcKWeFcunk21uFLtQ2aer82zwD0+QIpS3XlDAIoUW25hU7UAbL
dF0UEm5Mncm1dLN+CnofVj8n/OkWO528GVNVP5lcaSZ0oQGRK49LyuJ9y6+PvUc9R23TP2kbWoP1
xoBWMhTIXmvFkWFJYoWHlLa/R75MXEMLqPE2jVU/r+Bm10+9NXQhKCBDEgj0zV06ecWWIykhsjGy
KbLouy8pRa2YVHnoPOZ+Lu88R6NgzuCIvDJaZtmriA/g6FCaw7srssokT4RZZd1PbW4Gtl+STOQj
YzsnoUTsJzAWX5o6pR9KlJVnbtjhIUsZHVJuBMj5AlWWz1fJOHxsXZcVBPToyAsW0/UkbMpBMdxT
rdKb08posFYyVbfqCxNoMV4vL45hP6iIM3ld3kIjdxbFhtZwjF6xQdHr7G41uiW+Wm5hXoZtn+zT
0RMvue3Oj140SHdL7Dw9NnTvfjWJpN0Ptq0u6oK6QTwq4bpKtAeChu0jm8Uu4LTco1H5XrIjAJlS
6qLlR0GzC/9MllvdQ4UuIWgDuI3QgiFUdAfIfS5n0NRV1qqYQ/OJqGxHEh9JeM0MWtDa0mZX7L3s
wJ4mMnMEn8G6JeHsHu2oObVOW3y1bT9Gh/A4diMNNIgovfROuL1vBbNOueE4YDJE8MZOHHN8+s0Z
iwYjC51M5WKqnkdzDLomq68mVA3GhEN4U44QXnvlcrzXkJtFSXdnNBFZ7P1uBhc0JOaxzjA/PIS1
WT1Ocd7eYX6/ie2xuQWVDCcaehGVLcK9K90eAzXilHfdoHSAwcyp+Ihi/WNkTPJghd79TBLlA6XT
xq4itIupeiorn/ujzuv92MrlxkfQrH222bVx03Uco52iju0N9hf9OFUzOfew6fVzF1NlLA2sF3kK
w51qyhYc79iTe8gnvdQDaIHTpxCrbL4W1mBz2C+GgUBCk+fDWhNWviG0V609qff3Brysp8Tw9Y5H
oalfDykOk4JulYvRMbmqJwQlyeP9QNB+OCH1fJpar7mqcWuDpJ9k7UAkCPsjx3FQZ5Zv3CkfxLyS
qThnwum/jYS1Pyk/qppnnNP5eMaxFUaUasyw4POsXNdN+9FQc3iOYxEGtLLSFeQJeRx7AJ45hFB8
5CSJO1O7btve2XQGhiXqe4uveQ+ot1nkydBWxjlN+vEJQ1gYRLhXbvzat68pyolcqAYxIhHjwfpE
XCC70sPGKAOolNrZwsocuNYwbfi4iFJYjrysu6L8lAw9MkhVP4RDrV9mevvY80jcxCnXKRmcJ2FE
F+mUdkdN2dbHCaMc07JMtcScOkHsCmNhF9FnYtLEczW4LVmTqV9lrkHrp448vXKrWmJbi3uLd+hR
dhKDXgmAKAxMx5V2cuhVJZwbH4vJq/ZGLj6EqeWuotxBMzJorIGdSBGNzPNAcK5jLUTviTEt86Tw
w3mR0Z0VozVLbH2LGcsK0ox59iLLufH8tr+rWgsATYuWxPuJwXjOcqu5PWHdNrNX9RA9OHojDiXC
MelmWdMBrWxAdkVxB2UcvHfK9mNrYLoLpJHjUap1qa2GnuncSnVxfFMsqRhQkupeb9vxoDpT/wBw
kgUKieiKFWikspV0dNAX/tkki7GryyHmbw2rPqCZNrexTXpojVQ2bUBFMjWMp0pcDlY6QDp3aDUJ
nQuGCqS3s0g96F0eOissTY/xENMeVFANZAvYEpEco4cRXRUfq+x54nbmpVMXci/1iACpH3vEnhy+
h75NJ3yQhQ4Tz3MHp92qLLa5E4o+W9fSbrZWMvB0zGM/WjVukaOCkVSufd74SMD/DqXY3XY0kKe0
DQmEuLRLAsK2pFdCPJKyFbdxCB97BYsXUK+KugNd4IAT9FgNB9la1XYyDMnogvWUsRLB7rXLevOS
NoPzDWFr2iSZY8/72IdBT0dss/dbP9zky9YKsbVFhFQUKVmiqNbUpTlMVJt6kxLqWHuDN1xNtTCC
UOXkyMeGQJvrGgeAeuNp7rzafOD5ll31ZY7Hfw1Ot7hJ+8Sk7cFG5Ctk5NzmYDpw/mvURI99yrag
nKzPmTD0aOsTvOYG0tkL4o7PriMestGYy2OZQSZGo/MlIqEXnju2AQvjvWblVWb00S1GOByzyTAb
k95ThL/4dg6nxcYSxdsmG9SRHl371JRxQzt102iYUe3h0qzy/iBFo3ZemcgbYffdfTwVl83UHGpv
lgHmElBroFO+OKyWu7Fv2ksx2uGujbxHNmrTln6iYHRb65yiO+CpG7MMvLAsKGKAOTOJbeLP5JMn
q4W4TnFela4Kw5lvB1OvP8usyEl4+waFEtg8oWSQsiJHhuScDa1WfFHMpeluIJClxXNLNqtGMv3s
9fV9PagSI2n7PcZVaCxuF6F0dmSD3NuKvFf9mvwqX1NgZqk/95NfX0nwbuDouBYusikJ+Z5TlW28
LI3dWwqgAQ8nBX/VTqCIy/CmqgGi2IgdLbMeu54+zDHzEMtsvci9iYy6ueHpd9EXPEGn/U8n+X9j
fnrnVaemBou66QP1oXHGst43Zkb+xKQ3Yl/rtq11MZmcRO0kNu5n5XYvfiv+st5ysWv9pNPxgmCO
PNugSFUnovPqkPrJbYXiqxC9umpfEuE7MsKunzoW5udM63FiGtXwBai2ZZ2i0RvMi7Zl/qvWALLj
As9UmrPycWNvKP6y2uuiHcWp0Jy5vmyJcD+Oce9vaKJnA2jNZci2rXC6Fz3STZ8DPQitO8PRwnZD
aKjdJ8PANrNO7efKHqf+jmm43W3nXmBXWJcOMuMniF0ACBgNcGCLQhwQiRlxFoGcIe4L16Q9NFfd
C5dM+c2D9ndnEtmHhtF0/Pc47WrsFUAdjhFnI21ZO3UOWEILzzO0525LVQgpAC+qmHvzH7bXVlUL
Z9fGwpFMZrzq6fUsXDiNOP36S39nqeM7cG3HQqkhJkH7B2C2N463jB0yeBa92ttqOS/bScrZYBA5
x7Vfv9DyB739snkhUO1sAyzPNN5fXUBZYabkvFAeU0iIOFHQjV02fD/ce9Zzl1CCzdkQSuqKINZf
ddr++dVpN/UIW3sWACv4tm/fZo3G6OoKmE2b1sa9M01UuzWJYv+Yt/sKJpWzcnqXQ4A2FRzbfv3W
BZmWd+8dCdzQKYgS8NH/9N4nHAUhrnTIRHjjsONMWPauCHUY92XacWy2hMObHy1VHeCHskfV23Lg
4FdGbr7HPyzuX3+hf+CIfwFHZH2jS+sX8uaHZ5w9TEHfZo5+/7EfYw8yRyySNg12HhbUpU76j7EH
maPvMaTXTNGPiQdjEh3D6rK+cqvh+fxD27RsHHOccnxOq1QQ4Kb7O9rm2/WUOjwub7oUmHtg7n+F
LL65lwnnNMDcB+dcjDnTa56vw7mFTORA6Wm6Tz99MP/mafH2jnp9MXJXJKh033J4u4vb7qfFO7Ll
UjvQW+dY4+hfWpVxr/rRf8ySfrmZliUv0l3r2R/Tdv//8dL49xg9Oa7Dh/r2pRMtE7KvhHWGQ8BL
45JgqVcTIUC2f2R8PcmqQjoGya0LKTT4i9v57XNyeeeuYSFRez4LCsrMu5c3zCQqfYDu5xyOD1s0
jT3KWu8HHj1JtbycXOSeX79l4+0S8vuLcqlYjM4cVpF3H3dZl+EQAWk525hz70siuRdG4aBqkozz
H+ueSmErMXnxQQw8SuJ+6F8ctNFdDiAINYqyyV2Naif3He6JcDPPLLqOZ7Dkhfaoi8NYh0oEybzY
bzpQBHEg8xId69fv463B+vvbeBXeGQ+Q9n9P7vQmz0S+iI0ziiXXypAj3OWLJud1rHKgMauDzHC1
/fpVGR78tP7+/qo+t4fLqBJs6btvDCERkLTdinMqRnFfauhhJMXjb3oqmzOJHXlrW7U4YX5HFlYx
KvSvX//PN6bLRsf0cNUzIWPH8/aCHX2/JMEnBRQZR94myw2j/AFI1fiXz/N3z5rX92oKnuoIFrwg
4N63rxUqty91fRBniw7zWzpj0aAhDiFth6bZvRC/gw6NJZy7U0dlrt2Jm0Uj2EtEkfqpv//GTSAq
5jLYNf901RoYzf1GD/Xz0DfcJBbou+po9IU+rpIy+6u+7393kyygF+5L/kfqctns/LQmiTqFv2qO
xrntyAaXKkYnflVuB1evDgV4NcwiaKRNk3CV+/nMlnH05eJBwFa4wtxSHTRnlLcR+m4E3MjAT0d7
7Ub0zGrieKRCFJIjd5kNBHO69Elu5dtff2QLMP/9xQrb04UJw6OCCe87m3KaR+HgKV+cQ6AlzXZm
Nw7WjutG9kX91LYFHXhMtJ+g1/k0UgNEgz7E1q1TfrOvqV6KmM1aFFXP05y3gQj17sVrdXn769/z
3/2aWGLYT7Fv/HN8QZPGMAL7Emess3wgrx+zqBHIhR6K+yZv/2qnary/i+gk4KrmmasLXAeMCt9+
u0UfGameqe48oewdGI/Yz2Q5l/8zkbaHhfrWmg6Cd5iE7Oxpw8DfA57Ov0uGBQNhlqp/MauRK11n
BdA1boLEZPxjLdfE60dE/IyHF/l9/9iRbTgoYWKJIYBwYbi8ocX8+N178h+7h77vsP+1MbY8HtYc
OhhJCov2ITaob9/W7GU+jHHUYNJ7lH3Xam6D1NXSa0Aiqt+XY4znNnXHtA8MmyAicAWIkaD7GT+s
cv5sfa1QIOkzNMYN3cfudnxNJcZOB6iqFJEyV7A4EJd0c0YC0eNJe6g1jIqB7lZViyC6BB2ZmiLj
kDPlzkiXFCSPgCUQmS44Oq8uzzAo44PXFekRPFp1GlO04MCDDjasavpCPwrlZteiUvkXHTtxQG1A
G2PcmWdKU+QYvygbF/plr+IySHqe35fMXAtz1ZhpfUObGClO+ZrohHCmB7Yb0+cwuq5WPw5lnk6B
Gbrune83Mc3FKflp5DTEEMb/EYFJst6IeFQye58bLW89NP6uz/YzBkCKFobBai8MLMGc1zmdHI1o
YLtdj+Gl7vg+juCRSaaLZN+eqVcgqJrafWnDNzBgHxVxVNc3NKDm7Rq8QxwGXoqRJMIETrEa14iL
SkKkr1L+pili/O5sDfyNK3rGRMw17ecOon2yLj1WG7aAy7i35m7uEsWPcbTO4yA0S23tAX4DVIE+
5y5FiNnAk1nEgljt/D1ka74mbh2zao5kYcnhRt9DuXUivQuq3OPTmPn9F9rhHeYdRkxqKEnbwDeL
CB+m1W5bP1lhjuGsquvzR9F5ySU1AUQv2Qd8JhlccfxjNOj6RrjFKVJ9AuZgf4QaYuPPrOMXLhT5
NRrCdBkbR2WgD3w9VMr3tNJEtR0Uwh3XXFiv1eZhKaVH4boGmbTqX6xGd9YSI0l9TwI6yQ5j6TFN
uSzL3C/uXQoNdZ8LIFeVGxRu4WHlp3LB9ej7oOknXHo/hDEZdr0mP64JkEFKU+QpCA/69UctRvjm
183Ssg2YNBTeVtOXzQ8E1NsKfYj8M0mMgx6RQ2G116xn+jWZ7nTMgBWSVZg/SK3jG1Mhc92CMuxh
Pbr+MjJbpmeJ4qokECZ4mFplw58BkqB+8sELYYKhHxws6DLR1PXWCyZ6HGvIE0zuYX2wZCdWdB5c
hpfrWTnWc8jEBGKczn4VZCqrUTHZzzKc/UdkxO6lQ/HBq0pSVrNYh1yrwIPUxhgtG+5QD3KyyR+P
EZVfjhNHdWBbR6cIfuogU0V1yMrMuG/+H3vnstw2kqzhV3H0ngzcL4ueiCORFmVLallWe0azYdAS
DeJC3EECfPrzFQDKJCV53F1eICYGiw63KBWrElWZWZl//qmIVHWTRMRVShhxYMawCWZGhrv2Jqpa
8hMP+DANG30cny6TuLNFbtExEU6uYanPICHkNwhCBDdQHKFiuFc7VyB83SvXTuq7vty37TwudCQ+
nHM1p9n8xza5OE+c4olutoiyzUkXRcU/29mS2iB9pkOceZvgdmoA3/3mNmt9kTCyCICQpCPB6hHU
ofAfrlBxN25EKn5Dx6FpCxqofK4behTQI3GuYZ7LOt1OGuE9UopmLtS1yCtzJPmmcLUpnvyEzUCr
2+JpkzcEZ0hhAy8IN+aipRUFU1Y8pRHWNnO97AFGTLzf2i+au9ZR2IVZ3Hyog8haaDX+vejL+JBn
TAYymOCJNACpMd+m4znMVMoN1ECjcxo5wJ9CP9vkim3EuyPkjvOeZBieglhPQZHMnRIoOOEJJSZA
I8L0YV5FWPMmBBMynWv08rCKHRlwsoRwZ2ZFzsw3/M1GNIenA3E2ygkxtQ5OJVwV0ez0qbv80H4Z
oQWUUE+oGzQicuJhBslAahF+2NJpi85uprFY2RQ1X2B2mGCqQa125ozibQAOWJ1/pUSJL4/bI6TO
TTqcboCE4QZheaho335yjC1U+G7BO0qhZNVK/tf1VAwwmGd0Gx1DQNwBLbtQGwAFqAH90uJN31BW
ZF+ynOSjTkL+zm+qhtqPVcRsyeLlM9KK6k0ptqcJQPhG8QIsU2hUjBzQZhTyz6CprtMtrKez9WrO
HVC1KIc+qyDp16cEvJjMHKaAs9IIRShOddwv9ca374MQgu5pCZn4BZRo7JE2IgUDLTKlBoj1t0og
jHR6hPkwGpxHEDVdwSChX2YuJyy1xNevt8AFWlRBVKrpQ6AmZOBFBA93P5tlc523Sq0AtfkYcuSw
xQV1Y3/+hX5l9W3deNYid0rOq0IXvKnm70bWxDM58XleMJN2J1KHoxYftz4qwFTx0acdkMTwMq+4
des5FfZOIl5QkBmoJi2ZZ7N1TvjTL3e03i65jhYAweEdJz0n6sc0WLU+U20KqCgIgHeQ4adgKeAa
YlAEAlSIsDOUfKL8Cz3vRtBnuAJQkeK9Z2QOb9sVYonwkQsLDZQnOdhJceHdbUfpw47o8j3M4to9
HVhC5WzLlfa+yvhhIiqLp6Xw0nZwiUSdx9iazWansKPSaARCxWlRHGbqXsWaM6LmRFtP8qriJiOk
lqeb2qUjmxrtJrmYzspiFaE/NxZpVXJeY4GfIkHJsdo1OvTJ+k6HhzACkWBCFfSUwRvqn2uGCDau
ihzG8BVbHp41UJR3K39u6dMtDBOzxqfWdWq6VWTe1TmE5yTuDKAxo1wxFz1ixQd4EwtSMTK0xmVI
4UoyheNxG31Y00VnDcnxSss+UzhNE9wIjuX1OR2c1BsKcoTuq7VgdJF4KkoeV8QTV3Kj5L4C9ULy
cScE0OkicXHfBBp6QSjW3LOxOO3enXuizr8u03xW237zlTKo+ad2fxrQNV9QdgSAMs6M8NquHLaI
o1QAPsxw82HlNbAtdRsClnTnW2pvQnJH+SafjQIIESLBuuZZxFLaXWHVoQh1U8pBfpNCDDWL1ZvA
FNGGsBjRt5Akkgrjv9mimXbhiKY5GkGInGZ4O1hWWVAXVvVzMzrPjS2fNThC+YS7p3qjGiyBLafe
mysqYCaiGzAZtHmGhQGJpr9PUjZNFSRoezrb/EFjAvgrVjs2tQJZcyVAHPms1YBGWBJOpRgIYZfz
FvEC/xkkk/ZWBIMwQHRx9/QGFo5NiVJIvHwzf5+NyK1O40rMNqhKjpmeNXyvlzb13boxuBKkXNW+
uDUYFc/0WHfVbBx2t2aUowmIWRp65vhC0Fqojl/PymoT04ecjHNySZ8O9SZXNszCdEqBf/ITdrui
znf5fWlWOCHeKHS/tGx0MUx/rNeGXtmoNPtz5dTrP2AWonvHnE7KblDMTBh+zuwczb4NveCbp8NK
aYMxobE8V+rzTaJzgGswdRCEYZEaf0tvHkKeLh5KY30JgwY5+ykvNDG3u/piVAX6eyV2KG/yMmoc
VpuanmppGlzrRqGq51jN9SU3+3om0Cqg99M0vp4nevLNrSP8BUurUYY4mXCxFBocPXVdlMqHTCj/
D8HcIxDpAhK4gbQi4QYTwfw2SjSiMETZKmoeAdZ89gKN15OvU/6b0Xd8d6abu/qWCOCWMnQqjaDg
Qi9lG3yctXDpspVT34UeFSNRnY3OqQXkzIiLckiG4eNWdzmq7iojlaHkTA9UCsEmLcE/AMjDTOvW
mMxhg3vYUWcYLhN8TKwL8IMpoB/9EpzM/MvcmaPh2ouhp9At4UMUBSkqr0SnJVYNaol4Guky0IJX
vuuRM0td9abF5qmjkhbnu8aZWLrADLGdaABpadhPSpDZrWsPbbWzfO1+wzeft3rTpbH57Q7YrD5t
gejAB1Dq6dx1rtY5Bf0TmGPQ0bWRPoRRvT1LSvReDiDtpoygMvTnI0qjEhoteEIz73b0Vjjnbrea
aSZk7sbGUoqPZlpx4kpBvWmGVLWOOg8jozZFoOLWYewYl7YN/PKSCxtdpgvuN7AvVflFUhbV+8jQ
NIe7CkBCJdyp944DbLA2XbQScR5EYsOlQqxprnGTaPNVFlm++xUR60kL1qP5F+dh52GMOpfZpGTY
Iu98RpRsrbz3wrXtTK2m1N7zzat7SC/rP+musLtaGY3/JxCHcFJwQtDO3HZ270FWVvQvt9YKBOBG
OrrNWz4b3Gm4bfRch1UeINtjlermU+BWu2WEV/kNDH+Bu70lF4xfRaODtFCuVJyyi0hQ5gBUhj2n
apl0siwOqJVM6uyDCYDrhv5lzsQLLP+ftMLyPlv4+PV5tYZ8MxT8PBT/Njeuns7/XNHH9jGh10g+
MVsqH7+l9dm1FD8k2KjvtkslhzHS3VgPbXTmfxme/5DhITFDWOht/PrEL8rcfyzfJd/ekfuv1l+P
sezd3++h7CR6FEIHDkEanbylRkSqJzSw7TEIMUraFWgL2pTLdyi7A+WJgaEnN+A4RHSInO2h7M7Y
If1IRN6Bk/qvQtlFa+yDSCG0dgrlN6TQCXQKhLxY+WG4s0E7qHhFyiysk/O19y3yRn/UDdW/kBXE
23i29pUPhTKfuvPqX2qIM6UXkwPhvZIEco+zQN0UAOxT7Mua6fB1Em1OyJKljuMpM7iZIZE0/tUA
+Cxg4I/XnGQ6WitlRhfpFNovI5pfp/TIvSC7An2y9mBsNCgqJ3E68q6V3eiMeu/3JaibFC7rbAW3
l2FuzojpTkYbStqV9NGAZJIu06KbL7Vg/w4KbSr+2RgGTaGbP4tdcuFTy1+Mpo0JjzylI9TE0LEn
UzYx5ZZKmYi204C2J0pY0S0g/tJQQJKzJ2Y1jSTXuqD+1z961dZGN+0+GSXcCY6oFnZGNHQOnDO9
1ItpEV4BI/0EwrWiVACi4JFbfrLcB1UfTQuPbtsFM1gHoF8tGjNY9vk6c4m6rYBDRROs63lehXf1
aH5PwbAozlxP8UX+DaeAcuFH1a1X2B8DNf668/BsgpDUzTa6sGj6cbYtYaHU4/hxXRsKnZpB1DbK
9jE2vIlnVcUVkCuTiGB6nloFX7aDp1//w1sHXhfV/69RLv1CBI/JtK16+VQt8+ZuWVRR+Uw3JD5t
aYDuk7/3S/sKtdcHerf8mXobEfo9OHHPQ7UT/tEQ0aL0y+pp+ftvujZGxWB1BfNTlEAz1/185Fhj
gvNUIFCG1z2HJuT5q15Z/o9X1snxx79zNPXHhNCwkD+e7QmXJ7HuI13dvpCXiz8Z4WDx7tgkxgUX
I3lo8SDNQxm4pN5JvFm6UMji6b7wYIO8tQV+vL6/LIPFE7xbe+NzWDzl0BLx54RwMsSREEiF08lA
N7tFkv48FIJtwpEKNxfmqPscM4bUByQEgODM+Wd2wttCsMcUnFnYYqyieJDqoRBU1aUPng003VA7
KQxNCLSB6F5Mlzt6PqAvj8PbQjDGNB/EAVf77X6iElQo3NAVJMBpYtULaVg7AWCd9HEwxuxzst9q
fxzwSQ53gqvRXdFtWyK2MlAGdxzAtOAzyh0H4YTSjUHAzvZv+lAIqiKQR7ZQjUM7BxBp8MakVg+L
M6xhtHfRKfAUz4kysLGZbc8X4dEP7ACApZI+Ac6YvLygxO6t4snyXWdMOa3KEelPCGpiYFIAG8Rt
R2oTaLDRuSaIKYEUE8+JFBz0AL0RAKT2vzC4k0D7Iad7NRImAUVAwTxv+lgL2tbYVlSsxd4zGtzq
qT9QftI/fNsgamOLJksOHTBf3wP6GCJRHbCN030+PClAnyG7BwwoN2xq8kGYPq/y0Bi4Ol40XYWh
keg+76zPgBxE1Wjr+KX0gWGg9QDGaXsH8MQvUFWDTmF0N4Zycmj6kBCLwAXJrp97kEukiE5j7XOs
ERwXowhjCyJ43iUDswpgGqVdA2WssgMgm+ilcLILkAIIQkDFwHz3UhqWFCjdV2RtowgaUI9gPy/y
xDogBdFFHO+xdx8HqBEgF5E8EboLkB9+DLoDPe/4Q71IBIWrFJBht3cjBxc9gEnV6EzW3/cQsA7c
i7GBdn/uT/wkmzsjcWYdNPHQ1CKFagIeK6UW4Z4S/hGcNaeaACIbBw+aSrhOEQzu7dNO6wV/1xsR
tLc9JHes8/KJHvV7nEN1eAbakIHd8+4M7Zbg4rvLvn6Fjp44h+QwnvX94fpdlWiCyvpJ3LTP4HYB
NWWObPTMsMcccBqD4Qm3D2I9lAJ8TDjS0O5T6jg4JUB+TlYJUIfFYWKFBzfiw/Vb7lij7EYg3Qe7
C1RR1iKlCvGQHcwANQf9WXipEbERglKq/3xwXgGIU01WIxgKJ55Acu8TvIgbkPqllIfUr/3dgxya
h2iIXLHcXrA4ESS26fXRaYQTr8A1xiqAPcI03TcN6LLYl2vKLd8eGyplS7bDbhcPvs+hQiA4MTap
5qSut4ssIJ6hbQLUteQm0AkU0r3ueZHi3nEoBRFKh0nPJmTZSWlwF2fstmj8J7cXiCaTNxJOUncU
TqXgjvEgRJ1lf1SGJwVgC9ImUuFEmCZK4fVUK+FUFCJnb78XOrEPSC8gA717NX//ssSVsS/i/q78
D0+EqtI8HimJzgPtZhmeXhAWXPZEQOTpwJbI6+5OxIm7yJXRFFcK0FPPJ2Zg2lEHviUrBUJJOkuk
oP95lYd7wSaeSISFNlqdchwe+AAmQek0i26MKYYX1Yu9djzZCyAlx9Q8IyhngGcBp152F2hjkihw
2AC0aZ+T9YO+IJCmcFr6q8PwnGbdElXkUjZSJ50MiwVF3r1ePPGXbMKqdDtzLFpDtc8QpSDqxaWk
wDWaaJHOTifQ3j7H/hJ6QrQrxmfeq4T2C4dkIwFxyl6gxF5wKA2Hu6l72FyHetEl4oZCoB1g71sP
zlOAvFo60YDvDCqPCwRJ1vY5ORGOAh4JSgTagHVS6sQ+qL2A0pI9ETrakfphEC2dFHjXh3uhu0c5
XLW6bxrS8gWsUnb5xM41h6Raj7wTyJbD5QtHCZC4IjBZ7TO4TdB3+JNSizqbAIoD3ITvW/1QChwF
eiKgNQHptc/gjIOQAq9OSgpE1wwsrYFn3K3yRCEI48AVhaBLv+0GdBZeayz7VzMN5JlYNxmLN3B5
XKEJqUA8iNnoBDQ040iFRQ8Yk7hAmqCysQhwV3Vq/ySYQM5RN3SgrIO9OukcBulrtIofpFNXs9cI
py4C12wcamKsvfHsDt+QTgRJeNnwGhoB9kWo08zTOwOwJQ4KdG69Hzm4iJIOjETWOIrMq6pRJmX1
CvHUOOJBEVIz9H064i9I4Sd2ynMlyPnKj57aGhB/WbxWKvLWL+xrBF5+3tc/XD79/hvEf8+cfu0v
igq27ru/l4j84yg/20LzDz7cQ/UP/7xf4MuvfnVS+x/O/GW+yB9XELpTP9L007xZrCkk+b9o8XWx
XhwWJ2CS2JnfZ/L7b0fzPDCI/2HgIjwZV2TspMfNYaM77kfcYejlBw4XcbEo9lMUr7EDpsuOfL6I
/G9JftJApyt/kB6brg/54ik5nHWHJJcfOY6Xj6X/WJVHg7dAbdnBJ8tosV3ky8ORu6IY6ZF/rtbz
7TqtZ3fvR7v7PVL3n463d4delp3/xTKh2dLxyB0mVnbkGRL3/UOJqzp4r/0PXq2x/SlhXD4tVkcb
sAduyk74EsqbOPGPT2SHBpQeOn7yFydaRDSu+gXCSLbHL6+D8spO+ONL3dTVDEgPzADVY9jsV96q
vQ5hJTv0VVL5xQsxd/Ad2bGvF358pD3IS/8K83K9yJtoET8diqNH5MtPuSgWj6uqWJbl0Z7u8XzS
4/uPK99bHBdbcrn+BSf82scWFEl5tLPhGha5ZvlpF3SOKCAXOdJNPeD1V4yeVPnp0L9k4klcnuiQ
HpUlO+mb5dcclrhjaXc5bfmhN4tju9UnSOUH3r6bLdZpsfKPzTrji9Tjrxj/wzIvlkeailyWyOj9
isGvl7X/eGTG+kTZrxj8gU4s+2m29wPaLaj7H/x9y3tDe/LVu/NFnmApj7dLl96Rnnv7BZNFeHr2
CZZzE5Qd/o+VfyzxDrIgPWwY4ZEc32og7xY5Dumh86V3Ws/eBsxlB75dxnHRRJvFyTWhB7fJDn+3
Sp6W7y6LF7ati3fLDv85qd7YiH0o+dd8wcuN2MdoZYe/R/rLolgeuRR95E9+7Pr4VtnH0mTHfatP
s+TV5ssyX2PZ9kdFaCsAHyLsJTvhH7WRlZz0j1s4yA6+LMp3r06+yxjKyuWffvGYxIV/5Ln1xV/S
Y8MGTG+L/ctr36ZFr779D96yPa9Fmp7ZI17Gn/bUGK/92XFwTfzGY7Rc5P/4fwAAAP//</cx:binary>
              </cx:geoCache>
            </cx:geography>
          </cx:layoutPr>
          <cx:valueColors>
            <cx:minColor>
              <a:schemeClr val="accent2"/>
            </cx:minColor>
            <cx:midColor>
              <a:schemeClr val="bg1"/>
            </cx:midColor>
            <cx:maxColor>
              <a:schemeClr val="accent1"/>
            </cx:maxColor>
          </cx:valueColors>
          <cx:valueColorPositions count="3"/>
        </cx:series>
      </cx:plotAreaRegion>
    </cx:plotArea>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Radio" firstButton="1" fmlaLink="$A$1" lockText="1" noThreeD="1"/>
</file>

<file path=xl/ctrlProps/ctrlProp2.xml><?xml version="1.0" encoding="utf-8"?>
<formControlPr xmlns="http://schemas.microsoft.com/office/spreadsheetml/2009/9/main" objectType="Radio" checked="Checked" lockText="1" noThreeD="1"/>
</file>

<file path=xl/ctrlProps/ctrlProp3.xml><?xml version="1.0" encoding="utf-8"?>
<formControlPr xmlns="http://schemas.microsoft.com/office/spreadsheetml/2009/9/main" objectType="Spin" dx="26" fmlaLink="$A$2" max="10" min="1" page="10" val="6"/>
</file>

<file path=xl/ctrlProps/ctrlProp4.xml><?xml version="1.0" encoding="utf-8"?>
<formControlPr xmlns="http://schemas.microsoft.com/office/spreadsheetml/2009/9/main" objectType="Spin" dx="26" fmlaLink="$A$4" max="4" min="1" page="10"/>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microsoft.com/office/2014/relationships/chartEx" Target="../charts/chartEx2.xml"/><Relationship Id="rId1" Type="http://schemas.microsoft.com/office/2014/relationships/chartEx" Target="../charts/chartEx1.xml"/><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oneCellAnchor>
    <xdr:from>
      <xdr:col>0</xdr:col>
      <xdr:colOff>482600</xdr:colOff>
      <xdr:row>0</xdr:row>
      <xdr:rowOff>165100</xdr:rowOff>
    </xdr:from>
    <xdr:ext cx="19368052" cy="12486239"/>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482600" y="165100"/>
          <a:ext cx="19368052" cy="12486239"/>
        </a:xfrm>
        <a:prstGeom prst="rect">
          <a:avLst/>
        </a:prstGeom>
        <a:solidFill>
          <a:schemeClr val="accent2">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800" b="1" i="0" u="none" strike="noStrike">
              <a:solidFill>
                <a:schemeClr val="tx1"/>
              </a:solidFill>
              <a:effectLst/>
              <a:latin typeface="+mn-lt"/>
              <a:ea typeface="+mn-ea"/>
              <a:cs typeface="+mn-cs"/>
            </a:rPr>
            <a:t>Instrucciones:</a:t>
          </a:r>
        </a:p>
        <a:p>
          <a:r>
            <a:rPr lang="en-GB" sz="1800" b="1" i="0" u="none" strike="noStrike">
              <a:solidFill>
                <a:schemeClr val="tx1"/>
              </a:solidFill>
              <a:effectLst/>
              <a:latin typeface="+mn-lt"/>
              <a:ea typeface="+mn-ea"/>
              <a:cs typeface="+mn-cs"/>
            </a:rPr>
            <a:t>1) Preparar los datos para permitir que los estudiantes universitarios puedan comparar datos sobre salarios y empleo en todas las industrias:</a:t>
          </a:r>
        </a:p>
        <a:p>
          <a:r>
            <a:rPr lang="en-GB" sz="1800" b="0" i="0" u="none" strike="noStrike">
              <a:solidFill>
                <a:schemeClr val="tx1"/>
              </a:solidFill>
              <a:effectLst/>
              <a:latin typeface="+mn-lt"/>
              <a:ea typeface="+mn-ea"/>
              <a:cs typeface="+mn-cs"/>
            </a:rPr>
            <a:t>	- Crear una nueva hoja llamada</a:t>
          </a:r>
          <a:r>
            <a:rPr lang="en-GB" sz="1800" b="0" i="0" u="none" strike="noStrike" baseline="0">
              <a:solidFill>
                <a:schemeClr val="tx1"/>
              </a:solidFill>
              <a:effectLst/>
              <a:latin typeface="+mn-lt"/>
              <a:ea typeface="+mn-ea"/>
              <a:cs typeface="+mn-cs"/>
            </a:rPr>
            <a:t> Tablas, </a:t>
          </a:r>
          <a:r>
            <a:rPr lang="en-GB" sz="1800" b="0" i="0" u="none" strike="noStrike">
              <a:solidFill>
                <a:schemeClr val="tx1"/>
              </a:solidFill>
              <a:effectLst/>
              <a:latin typeface="+mn-lt"/>
              <a:ea typeface="+mn-ea"/>
              <a:cs typeface="+mn-cs"/>
            </a:rPr>
            <a:t>para la preparación de las tablas que usaremos</a:t>
          </a:r>
          <a:r>
            <a:rPr lang="en-GB" sz="1800" b="0" i="0" u="none" strike="noStrike" baseline="0">
              <a:solidFill>
                <a:schemeClr val="tx1"/>
              </a:solidFill>
              <a:effectLst/>
              <a:latin typeface="+mn-lt"/>
              <a:ea typeface="+mn-ea"/>
              <a:cs typeface="+mn-cs"/>
            </a:rPr>
            <a:t> para el dashboard</a:t>
          </a:r>
          <a:r>
            <a:rPr lang="en-GB" sz="1800" b="0" i="0" u="none" strike="noStrike">
              <a:solidFill>
                <a:schemeClr val="tx1"/>
              </a:solidFill>
              <a:effectLst/>
              <a:latin typeface="+mn-lt"/>
              <a:ea typeface="+mn-ea"/>
              <a:cs typeface="+mn-cs"/>
            </a:rPr>
            <a:t>.</a:t>
          </a:r>
        </a:p>
        <a:p>
          <a:r>
            <a:rPr lang="en-GB" sz="1800" b="0" i="0" u="none" strike="noStrike">
              <a:solidFill>
                <a:schemeClr val="tx1"/>
              </a:solidFill>
              <a:effectLst/>
              <a:latin typeface="+mn-lt"/>
              <a:ea typeface="+mn-ea"/>
              <a:cs typeface="+mn-cs"/>
            </a:rPr>
            <a:t>	- Encontrar los valores únicos de las industrias: (i) usando la función ÚNICOS,</a:t>
          </a:r>
          <a:r>
            <a:rPr lang="en-GB" sz="1800" b="0" i="0" u="none" strike="noStrike" baseline="0">
              <a:solidFill>
                <a:schemeClr val="tx1"/>
              </a:solidFill>
              <a:effectLst/>
              <a:latin typeface="+mn-lt"/>
              <a:ea typeface="+mn-ea"/>
              <a:cs typeface="+mn-cs"/>
            </a:rPr>
            <a:t> </a:t>
          </a:r>
          <a:r>
            <a:rPr lang="en-GB" sz="1800" b="0" i="0" u="none" strike="noStrike">
              <a:solidFill>
                <a:schemeClr val="tx1"/>
              </a:solidFill>
              <a:effectLst/>
              <a:latin typeface="+mn-lt"/>
              <a:ea typeface="+mn-ea"/>
              <a:cs typeface="+mn-cs"/>
            </a:rPr>
            <a:t>o (ii) eliminando duplicados.</a:t>
          </a:r>
        </a:p>
        <a:p>
          <a:r>
            <a:rPr lang="en-GB" sz="1800" b="0" i="0" u="none" strike="noStrike">
              <a:solidFill>
                <a:schemeClr val="tx1"/>
              </a:solidFill>
              <a:effectLst/>
              <a:latin typeface="+mn-lt"/>
              <a:ea typeface="+mn-ea"/>
              <a:cs typeface="+mn-cs"/>
            </a:rPr>
            <a:t>	- Ordenar alfabéticamente las industrias únicas (con la función ORDENAR si usamos ÚNICOS).</a:t>
          </a:r>
        </a:p>
        <a:p>
          <a:r>
            <a:rPr lang="en-GB" sz="1800" b="0" i="0" u="none" strike="noStrike">
              <a:solidFill>
                <a:schemeClr val="tx1"/>
              </a:solidFill>
              <a:effectLst/>
              <a:latin typeface="+mn-lt"/>
              <a:ea typeface="+mn-ea"/>
              <a:cs typeface="+mn-cs"/>
            </a:rPr>
            <a:t>	- Crear una lista desplegable con las industrias.</a:t>
          </a:r>
        </a:p>
        <a:p>
          <a:r>
            <a:rPr lang="en-GB" sz="1800" b="0" i="0" u="none" strike="noStrike">
              <a:solidFill>
                <a:schemeClr val="tx1"/>
              </a:solidFill>
              <a:effectLst/>
              <a:latin typeface="+mn-lt"/>
              <a:ea typeface="+mn-ea"/>
              <a:cs typeface="+mn-cs"/>
            </a:rPr>
            <a:t>	- Guardar el año actual 2024 para crear más tarde un filtro de fecha para elegir el año actual (los datos sin procesar van de 2024 a 2021)</a:t>
          </a:r>
        </a:p>
        <a:p>
          <a:pPr marL="0" marR="0" lvl="0" indent="0" defTabSz="914400" eaLnBrk="1" fontAlgn="auto" latinLnBrk="0" hangingPunct="1">
            <a:lnSpc>
              <a:spcPct val="100000"/>
            </a:lnSpc>
            <a:spcBef>
              <a:spcPts val="0"/>
            </a:spcBef>
            <a:spcAft>
              <a:spcPts val="0"/>
            </a:spcAft>
            <a:buClrTx/>
            <a:buSzTx/>
            <a:buFontTx/>
            <a:buNone/>
            <a:tabLst/>
            <a:defRPr/>
          </a:pPr>
          <a:r>
            <a:rPr lang="en-GB" sz="1800" b="0" i="0" u="none" strike="noStrike">
              <a:solidFill>
                <a:schemeClr val="tx1"/>
              </a:solidFill>
              <a:effectLst/>
              <a:latin typeface="+mn-lt"/>
              <a:ea typeface="+mn-ea"/>
              <a:cs typeface="+mn-cs"/>
            </a:rPr>
            <a:t>	- Calcular el salario medio anual de cada industria durante el año en curso, utilizando la función condicional PROMEDIO.SI.CONJUNTO.</a:t>
          </a:r>
        </a:p>
        <a:p>
          <a:r>
            <a:rPr lang="en-GB" sz="1800" b="0" i="0" u="none" strike="noStrike">
              <a:solidFill>
                <a:schemeClr val="tx1"/>
              </a:solidFill>
              <a:effectLst/>
              <a:latin typeface="+mn-lt"/>
              <a:ea typeface="+mn-ea"/>
              <a:cs typeface="+mn-cs"/>
            </a:rPr>
            <a:t>	- Crear</a:t>
          </a:r>
          <a:r>
            <a:rPr lang="en-GB" sz="1800" b="0" i="0" u="none" strike="noStrike" baseline="0">
              <a:solidFill>
                <a:schemeClr val="tx1"/>
              </a:solidFill>
              <a:effectLst/>
              <a:latin typeface="+mn-lt"/>
              <a:ea typeface="+mn-ea"/>
              <a:cs typeface="+mn-cs"/>
            </a:rPr>
            <a:t> </a:t>
          </a:r>
          <a:r>
            <a:rPr lang="en-GB" sz="1800" b="0" i="0" u="none" strike="noStrike">
              <a:solidFill>
                <a:schemeClr val="tx1"/>
              </a:solidFill>
              <a:effectLst/>
              <a:latin typeface="+mn-lt"/>
              <a:ea typeface="+mn-ea"/>
              <a:cs typeface="+mn-cs"/>
            </a:rPr>
            <a:t>un gráfico de barras para los salarios anuales promedio por industria. Disminuir el ancho de la barra al 70% y dar este formato </a:t>
          </a:r>
          <a:r>
            <a:rPr lang="en-GB" sz="1800" b="1" i="0" u="none" strike="noStrike">
              <a:solidFill>
                <a:schemeClr val="tx1"/>
              </a:solidFill>
              <a:effectLst/>
              <a:latin typeface="+mn-lt"/>
              <a:ea typeface="+mn-ea"/>
              <a:cs typeface="+mn-cs"/>
            </a:rPr>
            <a:t>#."K" € </a:t>
          </a:r>
          <a:r>
            <a:rPr lang="en-GB" sz="1800" b="0" i="0" u="none" strike="noStrike">
              <a:solidFill>
                <a:schemeClr val="tx1"/>
              </a:solidFill>
              <a:effectLst/>
              <a:latin typeface="+mn-lt"/>
              <a:ea typeface="+mn-ea"/>
              <a:cs typeface="+mn-cs"/>
            </a:rPr>
            <a:t>a los números del eje X.</a:t>
          </a:r>
        </a:p>
        <a:p>
          <a:r>
            <a:rPr lang="en-GB" sz="1800" b="0" i="0" u="none" strike="noStrike">
              <a:solidFill>
                <a:schemeClr val="tx1"/>
              </a:solidFill>
              <a:effectLst/>
              <a:latin typeface="+mn-lt"/>
              <a:ea typeface="+mn-ea"/>
              <a:cs typeface="+mn-cs"/>
            </a:rPr>
            <a:t>	- Ordenar las barras del gráfico</a:t>
          </a:r>
          <a:r>
            <a:rPr lang="en-GB" sz="1800" b="0" i="0" u="none" strike="noStrike" baseline="0">
              <a:solidFill>
                <a:schemeClr val="tx1"/>
              </a:solidFill>
              <a:effectLst/>
              <a:latin typeface="+mn-lt"/>
              <a:ea typeface="+mn-ea"/>
              <a:cs typeface="+mn-cs"/>
            </a:rPr>
            <a:t> (d</a:t>
          </a:r>
          <a:r>
            <a:rPr lang="en-GB" sz="1800" b="0" i="0" u="none" strike="noStrike">
              <a:solidFill>
                <a:schemeClr val="tx1"/>
              </a:solidFill>
              <a:effectLst/>
              <a:latin typeface="+mn-lt"/>
              <a:ea typeface="+mn-ea"/>
              <a:cs typeface="+mn-cs"/>
            </a:rPr>
            <a:t>ebes eliminar la referencia a la hoja 'Preparación de datos' de la fórmula PROMEDIO.SI.CONJUNTO y ordenar en ascendente por números).</a:t>
          </a:r>
        </a:p>
        <a:p>
          <a:r>
            <a:rPr lang="en-GB" sz="1800" b="0" i="0" u="none" strike="noStrike">
              <a:solidFill>
                <a:schemeClr val="tx1"/>
              </a:solidFill>
              <a:effectLst/>
              <a:latin typeface="+mn-lt"/>
              <a:ea typeface="+mn-ea"/>
              <a:cs typeface="+mn-cs"/>
            </a:rPr>
            <a:t>	- Puedes ordenar de </a:t>
          </a:r>
          <a:r>
            <a:rPr lang="en-GB" sz="1800" b="0" i="0" u="sng" strike="noStrike">
              <a:solidFill>
                <a:schemeClr val="tx1"/>
              </a:solidFill>
              <a:effectLst/>
              <a:latin typeface="+mn-lt"/>
              <a:ea typeface="+mn-ea"/>
              <a:cs typeface="+mn-cs"/>
            </a:rPr>
            <a:t>forma ascendente </a:t>
          </a:r>
          <a:r>
            <a:rPr lang="en-GB" sz="1800" b="0" i="0" u="none" strike="noStrike">
              <a:solidFill>
                <a:schemeClr val="tx1"/>
              </a:solidFill>
              <a:effectLst/>
              <a:latin typeface="+mn-lt"/>
              <a:ea typeface="+mn-ea"/>
              <a:cs typeface="+mn-cs"/>
            </a:rPr>
            <a:t>los valores en la tabla para </a:t>
          </a:r>
          <a:r>
            <a:rPr lang="en-GB" sz="1800" b="0" i="0" u="sng" strike="noStrike">
              <a:solidFill>
                <a:schemeClr val="tx1"/>
              </a:solidFill>
              <a:effectLst/>
              <a:latin typeface="+mn-lt"/>
              <a:ea typeface="+mn-ea"/>
              <a:cs typeface="+mn-cs"/>
            </a:rPr>
            <a:t>ordenar descendentemente </a:t>
          </a:r>
          <a:r>
            <a:rPr lang="en-GB" sz="1800" b="0" i="0" u="none" strike="noStrike">
              <a:solidFill>
                <a:schemeClr val="tx1"/>
              </a:solidFill>
              <a:effectLst/>
              <a:latin typeface="+mn-lt"/>
              <a:ea typeface="+mn-ea"/>
              <a:cs typeface="+mn-cs"/>
            </a:rPr>
            <a:t>las barras,</a:t>
          </a:r>
          <a:r>
            <a:rPr lang="en-GB" sz="1800" b="0" i="0" u="none" strike="noStrike" baseline="0">
              <a:solidFill>
                <a:schemeClr val="tx1"/>
              </a:solidFill>
              <a:effectLst/>
              <a:latin typeface="+mn-lt"/>
              <a:ea typeface="+mn-ea"/>
              <a:cs typeface="+mn-cs"/>
            </a:rPr>
            <a:t> </a:t>
          </a:r>
          <a:r>
            <a:rPr lang="en-GB" sz="1800" b="0" i="0" u="none" strike="noStrike">
              <a:solidFill>
                <a:schemeClr val="tx1"/>
              </a:solidFill>
              <a:effectLst/>
              <a:latin typeface="+mn-lt"/>
              <a:ea typeface="+mn-ea"/>
              <a:cs typeface="+mn-cs"/>
            </a:rPr>
            <a:t>o editar las etiquetas del eje Y, y seleccionar "Categorías en orden inverso".</a:t>
          </a:r>
        </a:p>
        <a:p>
          <a:r>
            <a:rPr lang="en-GB" sz="1800" b="0" i="0" u="none" strike="noStrike">
              <a:solidFill>
                <a:schemeClr val="tx1"/>
              </a:solidFill>
              <a:effectLst/>
              <a:latin typeface="+mn-lt"/>
              <a:ea typeface="+mn-ea"/>
              <a:cs typeface="+mn-cs"/>
            </a:rPr>
            <a:t>	- Obtener el número total de empleados por industria con la función SUMAR.SI.CONJUNTO (recuerda que es para el año en curso 2024).</a:t>
          </a:r>
        </a:p>
        <a:p>
          <a:r>
            <a:rPr lang="en-GB" sz="1800" b="0" i="0" u="none" strike="noStrike">
              <a:solidFill>
                <a:schemeClr val="tx1"/>
              </a:solidFill>
              <a:effectLst/>
              <a:latin typeface="+mn-lt"/>
              <a:ea typeface="+mn-ea"/>
              <a:cs typeface="+mn-cs"/>
            </a:rPr>
            <a:t>	- Dar un formato de número, con separador de miles y sin decimales.</a:t>
          </a:r>
        </a:p>
        <a:p>
          <a:r>
            <a:rPr lang="en-GB" sz="1800" b="0" i="0" u="none" strike="noStrike">
              <a:solidFill>
                <a:schemeClr val="tx1"/>
              </a:solidFill>
              <a:effectLst/>
              <a:latin typeface="+mn-lt"/>
              <a:ea typeface="+mn-ea"/>
              <a:cs typeface="+mn-cs"/>
            </a:rPr>
            <a:t>	- Crear un gráfico donut con los datos, colocar la leyenda en el lado derecho y asignar el nombre "Participación del empleado". </a:t>
          </a:r>
        </a:p>
        <a:p>
          <a:r>
            <a:rPr lang="en-GB" sz="1800" b="0" i="0" u="none" strike="noStrike">
              <a:solidFill>
                <a:schemeClr val="tx1"/>
              </a:solidFill>
              <a:effectLst/>
              <a:latin typeface="+mn-lt"/>
              <a:ea typeface="+mn-ea"/>
              <a:cs typeface="+mn-cs"/>
            </a:rPr>
            <a:t>	- Reducir las categorías agrupando los datos en Seleccionados vs Otros (usar BUSCARX y SUMA).</a:t>
          </a:r>
        </a:p>
        <a:p>
          <a:r>
            <a:rPr lang="en-GB" sz="1800" b="0" i="0" u="none" strike="noStrike">
              <a:solidFill>
                <a:schemeClr val="tx1"/>
              </a:solidFill>
              <a:effectLst/>
              <a:latin typeface="+mn-lt"/>
              <a:ea typeface="+mn-ea"/>
              <a:cs typeface="+mn-cs"/>
            </a:rPr>
            <a:t>	- Cambiar el hueco del donut al 60%, agregar etiquetas de % de datos, cambiar el Seleccionado de la leyenda para que sea realmente la industria seleccionada.</a:t>
          </a:r>
        </a:p>
        <a:p>
          <a:r>
            <a:rPr lang="en-GB" sz="1800" b="0" i="0" u="none" strike="noStrike">
              <a:solidFill>
                <a:schemeClr val="tx1"/>
              </a:solidFill>
              <a:effectLst/>
              <a:latin typeface="+mn-lt"/>
              <a:ea typeface="+mn-ea"/>
              <a:cs typeface="+mn-cs"/>
            </a:rPr>
            <a:t>	- Calcular el salario promedio y la suma de empleados, para la industria seleccionada y cada año.</a:t>
          </a:r>
        </a:p>
        <a:p>
          <a:r>
            <a:rPr lang="en-GB" sz="1800" b="0" i="0" u="none" strike="noStrike">
              <a:solidFill>
                <a:schemeClr val="tx1"/>
              </a:solidFill>
              <a:effectLst/>
              <a:latin typeface="+mn-lt"/>
              <a:ea typeface="+mn-ea"/>
              <a:cs typeface="+mn-cs"/>
            </a:rPr>
            <a:t>	- Crear</a:t>
          </a:r>
          <a:r>
            <a:rPr lang="en-GB" sz="1800" b="0" i="0" u="none" strike="noStrike" baseline="0">
              <a:solidFill>
                <a:schemeClr val="tx1"/>
              </a:solidFill>
              <a:effectLst/>
              <a:latin typeface="+mn-lt"/>
              <a:ea typeface="+mn-ea"/>
              <a:cs typeface="+mn-cs"/>
            </a:rPr>
            <a:t> </a:t>
          </a:r>
          <a:r>
            <a:rPr lang="en-GB" sz="1800" b="0" i="0" u="none" strike="noStrike">
              <a:solidFill>
                <a:schemeClr val="tx1"/>
              </a:solidFill>
              <a:effectLst/>
              <a:latin typeface="+mn-lt"/>
              <a:ea typeface="+mn-ea"/>
              <a:cs typeface="+mn-cs"/>
            </a:rPr>
            <a:t>un gráfico de líneas y cambiar la categoría del eje X a los años (eliminar de la serie).</a:t>
          </a:r>
        </a:p>
        <a:p>
          <a:r>
            <a:rPr lang="en-GB" sz="1800" b="0" i="0" u="none" strike="noStrike">
              <a:solidFill>
                <a:schemeClr val="tx1"/>
              </a:solidFill>
              <a:effectLst/>
              <a:latin typeface="+mn-lt"/>
              <a:ea typeface="+mn-ea"/>
              <a:cs typeface="+mn-cs"/>
            </a:rPr>
            <a:t>	- El gráfico de líneas es difícil de interpretar.</a:t>
          </a:r>
          <a:r>
            <a:rPr lang="en-GB" sz="1800" b="0" i="0" u="none" strike="noStrike" baseline="0">
              <a:solidFill>
                <a:schemeClr val="tx1"/>
              </a:solidFill>
              <a:effectLst/>
              <a:latin typeface="+mn-lt"/>
              <a:ea typeface="+mn-ea"/>
              <a:cs typeface="+mn-cs"/>
            </a:rPr>
            <a:t> C</a:t>
          </a:r>
          <a:r>
            <a:rPr lang="en-GB" sz="1800" b="0" i="0" u="none" strike="noStrike">
              <a:solidFill>
                <a:schemeClr val="tx1"/>
              </a:solidFill>
              <a:effectLst/>
              <a:latin typeface="+mn-lt"/>
              <a:ea typeface="+mn-ea"/>
              <a:cs typeface="+mn-cs"/>
            </a:rPr>
            <a:t>rear un gráfico combinado que muestre a los empleados en las barras y el salario promedio como una línea en un eje secundario.</a:t>
          </a:r>
        </a:p>
        <a:p>
          <a:r>
            <a:rPr lang="en-GB" sz="1800" b="0" i="0" u="none" strike="noStrike">
              <a:solidFill>
                <a:schemeClr val="tx1"/>
              </a:solidFill>
              <a:effectLst/>
              <a:latin typeface="+mn-lt"/>
              <a:ea typeface="+mn-ea"/>
              <a:cs typeface="+mn-cs"/>
            </a:rPr>
            <a:t>	- Duplicar el gráfico para crear 2 gráficos separados con solo 1 eje principal. </a:t>
          </a:r>
        </a:p>
        <a:p>
          <a:r>
            <a:rPr lang="en-GB" sz="1800" b="0" i="0" u="none" strike="noStrike">
              <a:solidFill>
                <a:schemeClr val="tx1"/>
              </a:solidFill>
              <a:effectLst/>
              <a:latin typeface="+mn-lt"/>
              <a:ea typeface="+mn-ea"/>
              <a:cs typeface="+mn-cs"/>
            </a:rPr>
            <a:t>	- Ajustar las etiquetas de los ejes, eliminar el segundo título, agregar etiquetas de datos en ambos y marcas en el gráfico de líneas. </a:t>
          </a:r>
        </a:p>
        <a:p>
          <a:r>
            <a:rPr lang="en-GB" sz="1800" b="0" i="0" u="none" strike="noStrike">
              <a:solidFill>
                <a:schemeClr val="tx1"/>
              </a:solidFill>
              <a:effectLst/>
              <a:latin typeface="+mn-lt"/>
              <a:ea typeface="+mn-ea"/>
              <a:cs typeface="+mn-cs"/>
            </a:rPr>
            <a:t>	- Ocultar ahora las etiquetas de los ejes formateando el número como </a:t>
          </a:r>
          <a:r>
            <a:rPr lang="en-GB" sz="1800" b="1" i="0" u="none" strike="noStrike">
              <a:solidFill>
                <a:schemeClr val="tx1"/>
              </a:solidFill>
              <a:effectLst/>
              <a:latin typeface="+mn-lt"/>
              <a:ea typeface="+mn-ea"/>
              <a:cs typeface="+mn-cs"/>
            </a:rPr>
            <a:t>;;;</a:t>
          </a:r>
          <a:endParaRPr lang="en-GB" sz="1800"/>
        </a:p>
        <a:p>
          <a:pPr lvl="1"/>
          <a:r>
            <a:rPr lang="en-GB" sz="1800"/>
            <a:t>	- Crear un mapa que compare el número de empleados por estado. Esto no es muy exacto porque depende de la población de cada estado.</a:t>
          </a:r>
        </a:p>
        <a:p>
          <a:pPr lvl="1"/>
          <a:r>
            <a:rPr lang="en-GB" sz="1800"/>
            <a:t>	- Crear una nueva columna para calcular estos datos (Empleados por 1000 cápitas) obteniendo la población utilizando el tipo de </a:t>
          </a:r>
          <a:r>
            <a:rPr lang="en-GB" sz="1800" b="1"/>
            <a:t>datos geográficos</a:t>
          </a:r>
          <a:r>
            <a:rPr lang="en-GB" sz="1800"/>
            <a:t>.</a:t>
          </a:r>
        </a:p>
        <a:p>
          <a:pPr lvl="1"/>
          <a:r>
            <a:rPr lang="en-GB" sz="1800"/>
            <a:t>	- Crear una nueva columna para calcular los salarios promedio para cada estado con </a:t>
          </a:r>
          <a:r>
            <a:rPr lang="en-GB" sz="1800" b="0" i="0" u="none" strike="noStrike">
              <a:solidFill>
                <a:schemeClr val="tx1"/>
              </a:solidFill>
              <a:effectLst/>
              <a:latin typeface="+mn-lt"/>
              <a:ea typeface="+mn-ea"/>
              <a:cs typeface="+mn-cs"/>
            </a:rPr>
            <a:t>PROMEDIO.SI.CONJUNTO</a:t>
          </a:r>
          <a:r>
            <a:rPr lang="en-GB" sz="1800"/>
            <a:t> (usando el año actual y la industria seleccionada).</a:t>
          </a:r>
        </a:p>
        <a:p>
          <a:pPr lvl="1"/>
          <a:r>
            <a:rPr lang="en-GB" sz="1800"/>
            <a:t>	- Crear una nueva métrica para filtrar el mapa creando una lista desplegable (salarios promedio, empleados por 1000 cápita). Y haga que la columna sea igual a una función SI. </a:t>
          </a:r>
        </a:p>
        <a:p>
          <a:pPr lvl="1"/>
          <a:r>
            <a:rPr lang="en-GB" sz="1800"/>
            <a:t>	- Si la celda dice Salarios promedio, entonces hacer que la columna sea = a los valores de Salarios promedio; de lo contrario, tomar los valores de Empleados por 1000 cápita.</a:t>
          </a:r>
        </a:p>
        <a:p>
          <a:pPr lvl="1"/>
          <a:r>
            <a:rPr lang="en-GB" sz="1800"/>
            <a:t>	- Actualizar el mapa según la nueva columna. Cambia los colores de la serie a 3, el del medio blanco y como número 0.</a:t>
          </a:r>
        </a:p>
        <a:p>
          <a:pPr lvl="1"/>
          <a:r>
            <a:rPr lang="en-GB" sz="1800"/>
            <a:t>	- Solucionar el problema de los colores convirtiendo los valores promedio en negativos y cambiando el formato para que no se muestre como negativo en la leyenda.</a:t>
          </a:r>
        </a:p>
        <a:p>
          <a:pPr lvl="1"/>
          <a:endParaRPr lang="en-GB" sz="1800" b="0" i="0" u="none" strike="noStrike" baseline="0">
            <a:solidFill>
              <a:schemeClr val="tx1"/>
            </a:solidFill>
            <a:effectLst/>
            <a:latin typeface="+mn-lt"/>
            <a:ea typeface="+mn-ea"/>
            <a:cs typeface="+mn-cs"/>
          </a:endParaRPr>
        </a:p>
        <a:p>
          <a:pPr lvl="1"/>
          <a:endParaRPr lang="en-GB" sz="1800" b="0" i="0" u="none" strike="noStrike" baseline="0">
            <a:solidFill>
              <a:schemeClr val="tx1"/>
            </a:solidFill>
            <a:effectLst/>
            <a:latin typeface="+mn-lt"/>
            <a:ea typeface="+mn-ea"/>
            <a:cs typeface="+mn-cs"/>
          </a:endParaRPr>
        </a:p>
        <a:p>
          <a:pPr lvl="0"/>
          <a:r>
            <a:rPr lang="en-GB" sz="1800" b="1" i="0" u="none" strike="noStrike" baseline="0">
              <a:solidFill>
                <a:schemeClr val="tx1"/>
              </a:solidFill>
              <a:effectLst/>
              <a:latin typeface="+mn-lt"/>
              <a:ea typeface="+mn-ea"/>
              <a:cs typeface="+mn-cs"/>
            </a:rPr>
            <a:t>2) Preparar el Dashboard:</a:t>
          </a:r>
        </a:p>
        <a:p>
          <a:pPr lvl="1"/>
          <a:r>
            <a:rPr lang="en-GB" sz="1800" b="0" i="0" u="none" strike="noStrike" baseline="0">
              <a:solidFill>
                <a:schemeClr val="tx1"/>
              </a:solidFill>
              <a:effectLst/>
              <a:latin typeface="+mn-lt"/>
              <a:ea typeface="+mn-ea"/>
              <a:cs typeface="+mn-cs"/>
            </a:rPr>
            <a:t>	- Crear el diseño del dashboard escribiendo un título y organizando el espacio para los gráficos.</a:t>
          </a:r>
        </a:p>
        <a:p>
          <a:pPr lvl="1"/>
          <a:r>
            <a:rPr lang="en-GB" sz="1800" b="0" i="0" u="none" strike="noStrike" baseline="0">
              <a:solidFill>
                <a:schemeClr val="tx1"/>
              </a:solidFill>
              <a:effectLst/>
              <a:latin typeface="+mn-lt"/>
              <a:ea typeface="+mn-ea"/>
              <a:cs typeface="+mn-cs"/>
            </a:rPr>
            <a:t>	- Mejorar el gráfico de donut dándole un color gris a la categoría "otros" y creando un cuadro de texto con el % (hay que calcularlo) y haciendo que el cuadro sea igual al % (de la barra de fórmulas).</a:t>
          </a:r>
        </a:p>
        <a:p>
          <a:pPr lvl="1"/>
          <a:r>
            <a:rPr lang="en-GB" sz="1800" b="0" i="0" u="none" strike="noStrike" baseline="0">
              <a:solidFill>
                <a:schemeClr val="tx1"/>
              </a:solidFill>
              <a:effectLst/>
              <a:latin typeface="+mn-lt"/>
              <a:ea typeface="+mn-ea"/>
              <a:cs typeface="+mn-cs"/>
            </a:rPr>
            <a:t>	- Utilizar el color estratégicamente.</a:t>
          </a:r>
        </a:p>
        <a:p>
          <a:pPr lvl="1"/>
          <a:r>
            <a:rPr lang="en-GB" sz="1800" b="0" i="0" u="none" strike="noStrike" baseline="0">
              <a:solidFill>
                <a:schemeClr val="tx1"/>
              </a:solidFill>
              <a:effectLst/>
              <a:latin typeface="+mn-lt"/>
              <a:ea typeface="+mn-ea"/>
              <a:cs typeface="+mn-cs"/>
            </a:rPr>
            <a:t>	- Mejorar el gráfico de barras para que resalte la industria seleccionada.</a:t>
          </a:r>
        </a:p>
        <a:p>
          <a:pPr lvl="1"/>
          <a:r>
            <a:rPr lang="en-GB" sz="1800" b="0" i="0" u="none" strike="noStrike" baseline="0">
              <a:solidFill>
                <a:schemeClr val="tx1"/>
              </a:solidFill>
              <a:effectLst/>
              <a:latin typeface="+mn-lt"/>
              <a:ea typeface="+mn-ea"/>
              <a:cs typeface="+mn-cs"/>
            </a:rPr>
            <a:t>	- Crear botones de control de formulario en lugar de listas (Opciones de Excel - Personalizar barra - Activar opciones de Desarrollador)</a:t>
          </a:r>
        </a:p>
        <a:p>
          <a:pPr lvl="1"/>
          <a:endParaRPr lang="en-GB" sz="1800" b="0" i="0" u="none" strike="noStrike" baseline="0">
            <a:solidFill>
              <a:schemeClr val="tx1"/>
            </a:solidFill>
            <a:effectLst/>
            <a:latin typeface="+mn-lt"/>
            <a:ea typeface="+mn-ea"/>
            <a:cs typeface="+mn-cs"/>
          </a:endParaRPr>
        </a:p>
        <a:p>
          <a:pPr lvl="1"/>
          <a:endParaRPr lang="en-GB" sz="1800" b="0" i="0" u="none" strike="noStrike" baseline="0">
            <a:solidFill>
              <a:schemeClr val="tx1"/>
            </a:solidFill>
            <a:effectLst/>
            <a:latin typeface="+mn-lt"/>
            <a:ea typeface="+mn-ea"/>
            <a:cs typeface="+mn-cs"/>
          </a:endParaRPr>
        </a:p>
        <a:p>
          <a:pPr lvl="0"/>
          <a:r>
            <a:rPr lang="en-GB" sz="1800" b="1" i="0" u="sng" strike="noStrike" baseline="0">
              <a:solidFill>
                <a:schemeClr val="tx1"/>
              </a:solidFill>
              <a:effectLst/>
              <a:latin typeface="+mn-lt"/>
              <a:ea typeface="+mn-ea"/>
              <a:cs typeface="+mn-cs"/>
            </a:rPr>
            <a:t>Tarea</a:t>
          </a:r>
        </a:p>
        <a:p>
          <a:pPr lvl="0"/>
          <a:r>
            <a:rPr lang="en-GB" sz="1800" b="1" i="0" u="none" strike="noStrike" baseline="0">
              <a:solidFill>
                <a:schemeClr val="tx1"/>
              </a:solidFill>
              <a:effectLst/>
              <a:latin typeface="+mn-lt"/>
              <a:ea typeface="+mn-ea"/>
              <a:cs typeface="+mn-cs"/>
            </a:rPr>
            <a:t>	</a:t>
          </a:r>
          <a:r>
            <a:rPr lang="en-GB" sz="1800" b="0" i="0" u="none" strike="noStrike" baseline="0">
              <a:solidFill>
                <a:schemeClr val="tx1"/>
              </a:solidFill>
              <a:effectLst/>
              <a:latin typeface="+mn-lt"/>
              <a:ea typeface="+mn-ea"/>
              <a:cs typeface="+mn-cs"/>
            </a:rPr>
            <a:t>1) ¿Qué estado parece una buena opción si estamos interesados en salarios altos para la industria financiera? ¿Cuál es el estado que tiene tasas de empleados más altas para la industria de Educación?	</a:t>
          </a:r>
        </a:p>
        <a:p>
          <a:pPr lvl="0"/>
          <a:r>
            <a:rPr lang="en-GB" sz="1800" b="0" i="0" u="none" strike="noStrike" baseline="0">
              <a:solidFill>
                <a:schemeClr val="tx1"/>
              </a:solidFill>
              <a:effectLst/>
              <a:latin typeface="+mn-lt"/>
              <a:ea typeface="+mn-ea"/>
              <a:cs typeface="+mn-cs"/>
            </a:rPr>
            <a:t>	2) Crear una opción dinámica para seleccionar otro año diferente al año actual 2024 que se ha solucionado hasta ahora. Permite al usuario seleccionar el año que desee, recuerda que todas las fórmulas y gráficos deben actualizarse según ese nuevo año.</a:t>
          </a:r>
          <a:endParaRPr lang="en-GB" sz="180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3</xdr:col>
      <xdr:colOff>701040</xdr:colOff>
      <xdr:row>13</xdr:row>
      <xdr:rowOff>45719</xdr:rowOff>
    </xdr:from>
    <xdr:to>
      <xdr:col>6</xdr:col>
      <xdr:colOff>834390</xdr:colOff>
      <xdr:row>35</xdr:row>
      <xdr:rowOff>106680</xdr:rowOff>
    </xdr:to>
    <xdr:graphicFrame macro="">
      <xdr:nvGraphicFramePr>
        <xdr:cNvPr id="2" name="Gráfico 1">
          <a:extLst>
            <a:ext uri="{FF2B5EF4-FFF2-40B4-BE49-F238E27FC236}">
              <a16:creationId xmlns:a16="http://schemas.microsoft.com/office/drawing/2014/main" id="{FD6DF874-2145-AD12-465A-F06C1FFFD3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321945</xdr:colOff>
      <xdr:row>22</xdr:row>
      <xdr:rowOff>21907</xdr:rowOff>
    </xdr:from>
    <xdr:to>
      <xdr:col>10</xdr:col>
      <xdr:colOff>238124</xdr:colOff>
      <xdr:row>37</xdr:row>
      <xdr:rowOff>152400</xdr:rowOff>
    </xdr:to>
    <xdr:graphicFrame macro="">
      <xdr:nvGraphicFramePr>
        <xdr:cNvPr id="4" name="Gráfico 3">
          <a:extLst>
            <a:ext uri="{FF2B5EF4-FFF2-40B4-BE49-F238E27FC236}">
              <a16:creationId xmlns:a16="http://schemas.microsoft.com/office/drawing/2014/main" id="{F553AA50-9F87-9D18-2990-A33E57A3E8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514350</xdr:colOff>
      <xdr:row>42</xdr:row>
      <xdr:rowOff>178117</xdr:rowOff>
    </xdr:from>
    <xdr:to>
      <xdr:col>17</xdr:col>
      <xdr:colOff>659130</xdr:colOff>
      <xdr:row>58</xdr:row>
      <xdr:rowOff>31432</xdr:rowOff>
    </xdr:to>
    <xdr:graphicFrame macro="">
      <xdr:nvGraphicFramePr>
        <xdr:cNvPr id="8" name="Gráfico 7">
          <a:extLst>
            <a:ext uri="{FF2B5EF4-FFF2-40B4-BE49-F238E27FC236}">
              <a16:creationId xmlns:a16="http://schemas.microsoft.com/office/drawing/2014/main" id="{D220B4E6-C6A6-5B6A-414A-39E7D697A2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485775</xdr:colOff>
      <xdr:row>16</xdr:row>
      <xdr:rowOff>123825</xdr:rowOff>
    </xdr:from>
    <xdr:to>
      <xdr:col>17</xdr:col>
      <xdr:colOff>645795</xdr:colOff>
      <xdr:row>26</xdr:row>
      <xdr:rowOff>153352</xdr:rowOff>
    </xdr:to>
    <xdr:graphicFrame macro="">
      <xdr:nvGraphicFramePr>
        <xdr:cNvPr id="9" name="Gráfico 8">
          <a:extLst>
            <a:ext uri="{FF2B5EF4-FFF2-40B4-BE49-F238E27FC236}">
              <a16:creationId xmlns:a16="http://schemas.microsoft.com/office/drawing/2014/main" id="{447FB3DB-0FD1-B0A8-A383-0B8235D31F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487680</xdr:colOff>
      <xdr:row>26</xdr:row>
      <xdr:rowOff>122872</xdr:rowOff>
    </xdr:from>
    <xdr:to>
      <xdr:col>17</xdr:col>
      <xdr:colOff>638175</xdr:colOff>
      <xdr:row>41</xdr:row>
      <xdr:rowOff>159067</xdr:rowOff>
    </xdr:to>
    <xdr:graphicFrame macro="">
      <xdr:nvGraphicFramePr>
        <xdr:cNvPr id="10" name="Gráfico 9">
          <a:extLst>
            <a:ext uri="{FF2B5EF4-FFF2-40B4-BE49-F238E27FC236}">
              <a16:creationId xmlns:a16="http://schemas.microsoft.com/office/drawing/2014/main" id="{609D1454-EF01-76A2-D2C9-DB24E48C9C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387131</xdr:colOff>
      <xdr:row>0</xdr:row>
      <xdr:rowOff>123496</xdr:rowOff>
    </xdr:from>
    <xdr:to>
      <xdr:col>14</xdr:col>
      <xdr:colOff>444500</xdr:colOff>
      <xdr:row>5</xdr:row>
      <xdr:rowOff>101600</xdr:rowOff>
    </xdr:to>
    <xdr:sp macro="" textlink="">
      <xdr:nvSpPr>
        <xdr:cNvPr id="2" name="TextBox 1">
          <a:extLst>
            <a:ext uri="{FF2B5EF4-FFF2-40B4-BE49-F238E27FC236}">
              <a16:creationId xmlns:a16="http://schemas.microsoft.com/office/drawing/2014/main" id="{00000000-0008-0000-0400-000002000000}"/>
            </a:ext>
          </a:extLst>
        </xdr:cNvPr>
        <xdr:cNvSpPr txBox="1"/>
      </xdr:nvSpPr>
      <xdr:spPr>
        <a:xfrm>
          <a:off x="387131" y="123496"/>
          <a:ext cx="16478469" cy="9306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US" sz="4800" b="1" i="0" u="none" strike="noStrike" kern="0" cap="none" spc="0" normalizeH="0" baseline="0" noProof="0">
              <a:ln>
                <a:noFill/>
              </a:ln>
              <a:solidFill>
                <a:prstClr val="black">
                  <a:lumMod val="75000"/>
                  <a:lumOff val="25000"/>
                </a:prstClr>
              </a:solidFill>
              <a:effectLst/>
              <a:uLnTx/>
              <a:uFillTx/>
              <a:latin typeface="+mn-lt"/>
              <a:ea typeface="+mn-ea"/>
              <a:cs typeface="+mn-cs"/>
            </a:rPr>
            <a:t>Cómo son las cifras de </a:t>
          </a:r>
          <a:r>
            <a:rPr kumimoji="0" lang="en-US" sz="4800" b="1" i="0" u="none" strike="noStrike" kern="0" cap="none" spc="0" normalizeH="0" baseline="0" noProof="0">
              <a:ln>
                <a:noFill/>
              </a:ln>
              <a:solidFill>
                <a:srgbClr val="269999"/>
              </a:solidFill>
              <a:effectLst/>
              <a:uLnTx/>
              <a:uFillTx/>
              <a:latin typeface="+mn-lt"/>
              <a:ea typeface="+mn-ea"/>
              <a:cs typeface="+mn-cs"/>
            </a:rPr>
            <a:t>salario</a:t>
          </a:r>
          <a:r>
            <a:rPr kumimoji="0" lang="en-US" sz="4800" b="1" i="0" u="none" strike="noStrike" kern="0" cap="none" spc="0" normalizeH="0" baseline="0" noProof="0">
              <a:ln>
                <a:noFill/>
              </a:ln>
              <a:solidFill>
                <a:prstClr val="black">
                  <a:lumMod val="75000"/>
                  <a:lumOff val="25000"/>
                </a:prstClr>
              </a:solidFill>
              <a:effectLst/>
              <a:uLnTx/>
              <a:uFillTx/>
              <a:latin typeface="+mn-lt"/>
              <a:ea typeface="+mn-ea"/>
              <a:cs typeface="+mn-cs"/>
            </a:rPr>
            <a:t> y </a:t>
          </a:r>
          <a:r>
            <a:rPr kumimoji="0" lang="en-US" sz="4800" b="1" i="0" u="none" strike="noStrike" kern="0" cap="none" spc="0" normalizeH="0" baseline="0" noProof="0">
              <a:ln>
                <a:noFill/>
              </a:ln>
              <a:solidFill>
                <a:srgbClr val="FF5050"/>
              </a:solidFill>
              <a:effectLst/>
              <a:uLnTx/>
              <a:uFillTx/>
              <a:latin typeface="+mn-lt"/>
              <a:ea typeface="+mn-ea"/>
              <a:cs typeface="+mn-cs"/>
            </a:rPr>
            <a:t>empleo</a:t>
          </a:r>
          <a:r>
            <a:rPr kumimoji="0" lang="en-US" sz="4800" b="1" i="0" u="none" strike="noStrike" kern="0" cap="none" spc="0" normalizeH="0" baseline="0" noProof="0">
              <a:ln>
                <a:noFill/>
              </a:ln>
              <a:solidFill>
                <a:prstClr val="black">
                  <a:lumMod val="75000"/>
                  <a:lumOff val="25000"/>
                </a:prstClr>
              </a:solidFill>
              <a:effectLst/>
              <a:uLnTx/>
              <a:uFillTx/>
              <a:latin typeface="+mn-lt"/>
              <a:ea typeface="+mn-ea"/>
              <a:cs typeface="+mn-cs"/>
            </a:rPr>
            <a:t> por industria?</a:t>
          </a:r>
        </a:p>
      </xdr:txBody>
    </xdr:sp>
    <xdr:clientData/>
  </xdr:twoCellAnchor>
  <xdr:twoCellAnchor>
    <xdr:from>
      <xdr:col>0</xdr:col>
      <xdr:colOff>228600</xdr:colOff>
      <xdr:row>7</xdr:row>
      <xdr:rowOff>50800</xdr:rowOff>
    </xdr:from>
    <xdr:to>
      <xdr:col>1</xdr:col>
      <xdr:colOff>2590800</xdr:colOff>
      <xdr:row>10</xdr:row>
      <xdr:rowOff>152400</xdr:rowOff>
    </xdr:to>
    <xdr:sp macro="" textlink="">
      <xdr:nvSpPr>
        <xdr:cNvPr id="3" name="TextBox 2">
          <a:extLst>
            <a:ext uri="{FF2B5EF4-FFF2-40B4-BE49-F238E27FC236}">
              <a16:creationId xmlns:a16="http://schemas.microsoft.com/office/drawing/2014/main" id="{00000000-0008-0000-0400-000003000000}"/>
            </a:ext>
          </a:extLst>
        </xdr:cNvPr>
        <xdr:cNvSpPr txBox="1"/>
      </xdr:nvSpPr>
      <xdr:spPr>
        <a:xfrm>
          <a:off x="228600" y="1511300"/>
          <a:ext cx="2921000" cy="431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400" b="1">
              <a:solidFill>
                <a:schemeClr val="accent1"/>
              </a:solidFill>
            </a:rPr>
            <a:t>Salario</a:t>
          </a:r>
          <a:r>
            <a:rPr lang="en-GB" sz="2800" b="1">
              <a:solidFill>
                <a:schemeClr val="accent1"/>
              </a:solidFill>
            </a:rPr>
            <a:t> </a:t>
          </a:r>
          <a:r>
            <a:rPr lang="en-GB" sz="2400" b="1">
              <a:solidFill>
                <a:schemeClr val="tx1">
                  <a:lumMod val="75000"/>
                  <a:lumOff val="25000"/>
                </a:schemeClr>
              </a:solidFill>
            </a:rPr>
            <a:t>Promedio</a:t>
          </a:r>
          <a:r>
            <a:rPr lang="en-GB" sz="2800" b="1">
              <a:solidFill>
                <a:schemeClr val="tx1">
                  <a:lumMod val="75000"/>
                  <a:lumOff val="25000"/>
                </a:schemeClr>
              </a:solidFill>
            </a:rPr>
            <a:t> Anual </a:t>
          </a:r>
          <a:endParaRPr lang="en-GB" sz="2800" b="1">
            <a:solidFill>
              <a:schemeClr val="accent1"/>
            </a:solidFill>
          </a:endParaRPr>
        </a:p>
      </xdr:txBody>
    </xdr:sp>
    <xdr:clientData/>
  </xdr:twoCellAnchor>
  <xdr:twoCellAnchor>
    <xdr:from>
      <xdr:col>4</xdr:col>
      <xdr:colOff>685800</xdr:colOff>
      <xdr:row>7</xdr:row>
      <xdr:rowOff>63500</xdr:rowOff>
    </xdr:from>
    <xdr:to>
      <xdr:col>6</xdr:col>
      <xdr:colOff>546100</xdr:colOff>
      <xdr:row>10</xdr:row>
      <xdr:rowOff>139700</xdr:rowOff>
    </xdr:to>
    <xdr:sp macro="" textlink="">
      <xdr:nvSpPr>
        <xdr:cNvPr id="4" name="TextBox 3">
          <a:extLst>
            <a:ext uri="{FF2B5EF4-FFF2-40B4-BE49-F238E27FC236}">
              <a16:creationId xmlns:a16="http://schemas.microsoft.com/office/drawing/2014/main" id="{00000000-0008-0000-0400-000004000000}"/>
            </a:ext>
          </a:extLst>
        </xdr:cNvPr>
        <xdr:cNvSpPr txBox="1"/>
      </xdr:nvSpPr>
      <xdr:spPr>
        <a:xfrm>
          <a:off x="5397500" y="1524000"/>
          <a:ext cx="3606800" cy="4064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2400" b="1">
              <a:solidFill>
                <a:schemeClr val="tx1">
                  <a:lumMod val="75000"/>
                  <a:lumOff val="25000"/>
                </a:schemeClr>
              </a:solidFill>
            </a:rPr>
            <a:t>Proporción de </a:t>
          </a:r>
          <a:r>
            <a:rPr lang="en-GB" sz="2400" b="1">
              <a:solidFill>
                <a:schemeClr val="accent2"/>
              </a:solidFill>
            </a:rPr>
            <a:t>Empleados</a:t>
          </a:r>
        </a:p>
      </xdr:txBody>
    </xdr:sp>
    <xdr:clientData/>
  </xdr:twoCellAnchor>
  <xdr:twoCellAnchor>
    <xdr:from>
      <xdr:col>16384</xdr:col>
      <xdr:colOff>335280</xdr:colOff>
      <xdr:row>1048576</xdr:row>
      <xdr:rowOff>816610</xdr:rowOff>
    </xdr:from>
    <xdr:to>
      <xdr:col>16384</xdr:col>
      <xdr:colOff>4907280</xdr:colOff>
      <xdr:row>1048576</xdr:row>
      <xdr:rowOff>3559810</xdr:rowOff>
    </xdr:to>
    <mc:AlternateContent xmlns:mc="http://schemas.openxmlformats.org/markup-compatibility/2006">
      <mc:Choice xmlns:cx4="http://schemas.microsoft.com/office/drawing/2016/5/10/chartex" Requires="cx4">
        <xdr:graphicFrame macro="">
          <xdr:nvGraphicFramePr>
            <xdr:cNvPr id="8" name="Gráfico 10">
              <a:extLst>
                <a:ext uri="{FF2B5EF4-FFF2-40B4-BE49-F238E27FC236}">
                  <a16:creationId xmlns:a16="http://schemas.microsoft.com/office/drawing/2014/main" id="{39CE871B-A3AB-6B4E-06A0-2B1C2113FED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7358360" y="8916670"/>
              <a:ext cx="457200" cy="0"/>
            </a:xfrm>
            <a:prstGeom prst="rect">
              <a:avLst/>
            </a:prstGeom>
            <a:solidFill>
              <a:prstClr val="white"/>
            </a:solidFill>
            <a:ln w="1">
              <a:solidFill>
                <a:prstClr val="green"/>
              </a:solidFill>
            </a:ln>
          </xdr:spPr>
          <xdr:txBody>
            <a:bodyPr vertOverflow="clip" horzOverflow="clip"/>
            <a:lstStyle/>
            <a:p>
              <a:r>
                <a:rPr lang="es-DO" sz="1100"/>
                <a:t>Este gráfico no está disponible en tu versión de Excel.
Si editas esta forma o guardas el libro en un formato de archivo diferente, el gráfico no se podrá utilizar.</a:t>
              </a:r>
            </a:p>
          </xdr:txBody>
        </xdr:sp>
      </mc:Fallback>
    </mc:AlternateContent>
    <xdr:clientData/>
  </xdr:twoCellAnchor>
  <xdr:twoCellAnchor>
    <xdr:from>
      <xdr:col>7</xdr:col>
      <xdr:colOff>257300</xdr:colOff>
      <xdr:row>10</xdr:row>
      <xdr:rowOff>121063</xdr:rowOff>
    </xdr:from>
    <xdr:to>
      <xdr:col>16</xdr:col>
      <xdr:colOff>193964</xdr:colOff>
      <xdr:row>45</xdr:row>
      <xdr:rowOff>96983</xdr:rowOff>
    </xdr:to>
    <mc:AlternateContent xmlns:mc="http://schemas.openxmlformats.org/markup-compatibility/2006">
      <mc:Choice xmlns:cx4="http://schemas.microsoft.com/office/drawing/2016/5/10/chartex" Requires="cx4">
        <xdr:graphicFrame macro="">
          <xdr:nvGraphicFramePr>
            <xdr:cNvPr id="11" name="Gráfico 10">
              <a:extLst>
                <a:ext uri="{FF2B5EF4-FFF2-40B4-BE49-F238E27FC236}">
                  <a16:creationId xmlns:a16="http://schemas.microsoft.com/office/drawing/2014/main" id="{07CD16E9-D88C-48E1-9B8D-E0E1A64C3EE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9469880" y="1972723"/>
              <a:ext cx="7008024" cy="6506260"/>
            </a:xfrm>
            <a:prstGeom prst="rect">
              <a:avLst/>
            </a:prstGeom>
            <a:solidFill>
              <a:prstClr val="white"/>
            </a:solidFill>
            <a:ln w="1">
              <a:solidFill>
                <a:prstClr val="green"/>
              </a:solidFill>
            </a:ln>
          </xdr:spPr>
          <xdr:txBody>
            <a:bodyPr vertOverflow="clip" horzOverflow="clip"/>
            <a:lstStyle/>
            <a:p>
              <a:r>
                <a:rPr lang="es-DO" sz="1100"/>
                <a:t>Este gráfico no está disponible en tu versión de Excel.
Si editas esta forma o guardas el libro en un formato de archivo diferente, el gráfico no se podrá utilizar.</a:t>
              </a:r>
            </a:p>
          </xdr:txBody>
        </xdr:sp>
      </mc:Fallback>
    </mc:AlternateContent>
    <xdr:clientData/>
  </xdr:twoCellAnchor>
  <mc:AlternateContent xmlns:mc="http://schemas.openxmlformats.org/markup-compatibility/2006">
    <mc:Choice xmlns:a14="http://schemas.microsoft.com/office/drawing/2010/main" Requires="a14">
      <xdr:twoCellAnchor editAs="oneCell">
        <xdr:from>
          <xdr:col>8</xdr:col>
          <xdr:colOff>144780</xdr:colOff>
          <xdr:row>10</xdr:row>
          <xdr:rowOff>71120</xdr:rowOff>
        </xdr:from>
        <xdr:to>
          <xdr:col>12</xdr:col>
          <xdr:colOff>1297940</xdr:colOff>
          <xdr:row>13</xdr:row>
          <xdr:rowOff>109220</xdr:rowOff>
        </xdr:to>
        <xdr:sp macro="" textlink="">
          <xdr:nvSpPr>
            <xdr:cNvPr id="3073" name="Option Button 1" hidden="1">
              <a:extLst>
                <a:ext uri="{63B3BB69-23CF-44E3-9099-C40C66FF867C}">
                  <a14:compatExt spid="_x0000_s3073"/>
                </a:ext>
                <a:ext uri="{FF2B5EF4-FFF2-40B4-BE49-F238E27FC236}">
                  <a16:creationId xmlns:a16="http://schemas.microsoft.com/office/drawing/2014/main" id="{00000000-0008-0000-0300-00000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s-DO" sz="800" b="0" i="0" u="none" strike="noStrike" baseline="0">
                  <a:solidFill>
                    <a:srgbClr val="000000"/>
                  </a:solidFill>
                  <a:latin typeface="Segoe UI"/>
                  <a:cs typeface="Segoe UI"/>
                </a:rPr>
                <a:t>Salario Promedio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1910080</xdr:colOff>
          <xdr:row>10</xdr:row>
          <xdr:rowOff>78740</xdr:rowOff>
        </xdr:from>
        <xdr:to>
          <xdr:col>13</xdr:col>
          <xdr:colOff>640080</xdr:colOff>
          <xdr:row>13</xdr:row>
          <xdr:rowOff>78740</xdr:rowOff>
        </xdr:to>
        <xdr:sp macro="" textlink="">
          <xdr:nvSpPr>
            <xdr:cNvPr id="3074" name="Option Button 2" hidden="1">
              <a:extLst>
                <a:ext uri="{63B3BB69-23CF-44E3-9099-C40C66FF867C}">
                  <a14:compatExt spid="_x0000_s3074"/>
                </a:ext>
                <a:ext uri="{FF2B5EF4-FFF2-40B4-BE49-F238E27FC236}">
                  <a16:creationId xmlns:a16="http://schemas.microsoft.com/office/drawing/2014/main" id="{00000000-0008-0000-0300-00000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s-DO" sz="800" b="0" i="0" u="none" strike="noStrike" baseline="0">
                  <a:solidFill>
                    <a:srgbClr val="000000"/>
                  </a:solidFill>
                  <a:latin typeface="Segoe UI"/>
                  <a:cs typeface="Segoe UI"/>
                </a:rPr>
                <a:t>Empleados por 1,000</a:t>
              </a:r>
            </a:p>
          </xdr:txBody>
        </xdr:sp>
        <xdr:clientData/>
      </xdr:twoCellAnchor>
    </mc:Choice>
    <mc:Fallback/>
  </mc:AlternateContent>
  <xdr:twoCellAnchor>
    <xdr:from>
      <xdr:col>8</xdr:col>
      <xdr:colOff>361044</xdr:colOff>
      <xdr:row>10</xdr:row>
      <xdr:rowOff>190500</xdr:rowOff>
    </xdr:from>
    <xdr:to>
      <xdr:col>12</xdr:col>
      <xdr:colOff>1819729</xdr:colOff>
      <xdr:row>12</xdr:row>
      <xdr:rowOff>168729</xdr:rowOff>
    </xdr:to>
    <xdr:sp macro="" textlink="">
      <xdr:nvSpPr>
        <xdr:cNvPr id="10" name="CuadroTexto 9">
          <a:extLst>
            <a:ext uri="{FF2B5EF4-FFF2-40B4-BE49-F238E27FC236}">
              <a16:creationId xmlns:a16="http://schemas.microsoft.com/office/drawing/2014/main" id="{11B99AB4-476F-A7EF-7F9B-5A40DAACBE57}"/>
            </a:ext>
          </a:extLst>
        </xdr:cNvPr>
        <xdr:cNvSpPr txBox="1"/>
      </xdr:nvSpPr>
      <xdr:spPr>
        <a:xfrm>
          <a:off x="10292444" y="2032000"/>
          <a:ext cx="2576285" cy="47352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DO" sz="2400" b="1">
              <a:ln>
                <a:noFill/>
              </a:ln>
              <a:solidFill>
                <a:schemeClr val="accent1"/>
              </a:solidFill>
            </a:rPr>
            <a:t>Salario</a:t>
          </a:r>
          <a:r>
            <a:rPr lang="es-DO" sz="2400" b="1">
              <a:ln>
                <a:noFill/>
              </a:ln>
            </a:rPr>
            <a:t> Promedio</a:t>
          </a:r>
        </a:p>
      </xdr:txBody>
    </xdr:sp>
    <xdr:clientData/>
  </xdr:twoCellAnchor>
  <xdr:twoCellAnchor>
    <xdr:from>
      <xdr:col>12</xdr:col>
      <xdr:colOff>2095500</xdr:colOff>
      <xdr:row>10</xdr:row>
      <xdr:rowOff>172358</xdr:rowOff>
    </xdr:from>
    <xdr:to>
      <xdr:col>16</xdr:col>
      <xdr:colOff>190500</xdr:colOff>
      <xdr:row>12</xdr:row>
      <xdr:rowOff>128815</xdr:rowOff>
    </xdr:to>
    <xdr:sp macro="" textlink="">
      <xdr:nvSpPr>
        <xdr:cNvPr id="12" name="CuadroTexto 11">
          <a:extLst>
            <a:ext uri="{FF2B5EF4-FFF2-40B4-BE49-F238E27FC236}">
              <a16:creationId xmlns:a16="http://schemas.microsoft.com/office/drawing/2014/main" id="{C8A27A45-F1C2-026A-6B37-F0B82FDC0C73}"/>
            </a:ext>
          </a:extLst>
        </xdr:cNvPr>
        <xdr:cNvSpPr txBox="1"/>
      </xdr:nvSpPr>
      <xdr:spPr>
        <a:xfrm>
          <a:off x="13144500" y="2013858"/>
          <a:ext cx="3302000" cy="45175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DO" sz="2400" b="1">
              <a:solidFill>
                <a:schemeClr val="accent2"/>
              </a:solidFill>
            </a:rPr>
            <a:t>Empleados</a:t>
          </a:r>
          <a:r>
            <a:rPr lang="es-DO" sz="2400" b="1"/>
            <a:t> por 1,000</a:t>
          </a:r>
        </a:p>
      </xdr:txBody>
    </xdr:sp>
    <xdr:clientData/>
  </xdr:twoCellAnchor>
  <xdr:twoCellAnchor>
    <xdr:from>
      <xdr:col>4</xdr:col>
      <xdr:colOff>121229</xdr:colOff>
      <xdr:row>25</xdr:row>
      <xdr:rowOff>44823</xdr:rowOff>
    </xdr:from>
    <xdr:to>
      <xdr:col>7</xdr:col>
      <xdr:colOff>227216</xdr:colOff>
      <xdr:row>36</xdr:row>
      <xdr:rowOff>152399</xdr:rowOff>
    </xdr:to>
    <xdr:graphicFrame macro="">
      <xdr:nvGraphicFramePr>
        <xdr:cNvPr id="13" name="Gráfico 12">
          <a:extLst>
            <a:ext uri="{FF2B5EF4-FFF2-40B4-BE49-F238E27FC236}">
              <a16:creationId xmlns:a16="http://schemas.microsoft.com/office/drawing/2014/main" id="{D1E17AFF-CD74-4EE6-B096-F08324BCBD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123134</xdr:colOff>
      <xdr:row>35</xdr:row>
      <xdr:rowOff>83127</xdr:rowOff>
    </xdr:from>
    <xdr:to>
      <xdr:col>7</xdr:col>
      <xdr:colOff>219596</xdr:colOff>
      <xdr:row>45</xdr:row>
      <xdr:rowOff>27710</xdr:rowOff>
    </xdr:to>
    <xdr:graphicFrame macro="">
      <xdr:nvGraphicFramePr>
        <xdr:cNvPr id="14" name="Gráfico 13">
          <a:extLst>
            <a:ext uri="{FF2B5EF4-FFF2-40B4-BE49-F238E27FC236}">
              <a16:creationId xmlns:a16="http://schemas.microsoft.com/office/drawing/2014/main" id="{47BC31E4-FFBF-4916-93EA-2D9C837BF5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190500</xdr:colOff>
      <xdr:row>10</xdr:row>
      <xdr:rowOff>152401</xdr:rowOff>
    </xdr:from>
    <xdr:to>
      <xdr:col>5</xdr:col>
      <xdr:colOff>2832100</xdr:colOff>
      <xdr:row>24</xdr:row>
      <xdr:rowOff>152401</xdr:rowOff>
    </xdr:to>
    <xdr:graphicFrame macro="">
      <xdr:nvGraphicFramePr>
        <xdr:cNvPr id="15" name="Gráfico 14">
          <a:extLst>
            <a:ext uri="{FF2B5EF4-FFF2-40B4-BE49-F238E27FC236}">
              <a16:creationId xmlns:a16="http://schemas.microsoft.com/office/drawing/2014/main" id="{1FB69705-AAAC-49B4-9AD4-193520BCD9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1892300</xdr:colOff>
      <xdr:row>12</xdr:row>
      <xdr:rowOff>12700</xdr:rowOff>
    </xdr:from>
    <xdr:to>
      <xdr:col>7</xdr:col>
      <xdr:colOff>215900</xdr:colOff>
      <xdr:row>22</xdr:row>
      <xdr:rowOff>88900</xdr:rowOff>
    </xdr:to>
    <xdr:sp macro="" textlink="Tablas!$J$21">
      <xdr:nvSpPr>
        <xdr:cNvPr id="16" name="CuadroTexto 15">
          <a:extLst>
            <a:ext uri="{FF2B5EF4-FFF2-40B4-BE49-F238E27FC236}">
              <a16:creationId xmlns:a16="http://schemas.microsoft.com/office/drawing/2014/main" id="{33127642-69C8-280E-5CD2-7A5C87ACEF1C}"/>
            </a:ext>
          </a:extLst>
        </xdr:cNvPr>
        <xdr:cNvSpPr txBox="1"/>
      </xdr:nvSpPr>
      <xdr:spPr>
        <a:xfrm>
          <a:off x="7353300" y="2298700"/>
          <a:ext cx="2057400" cy="18542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8E181264-9F55-403C-A8E6-0AC9186F673F}" type="TxLink">
            <a:rPr lang="en-US" sz="8000" b="1" i="0" u="none" strike="noStrike">
              <a:solidFill>
                <a:schemeClr val="accent2"/>
              </a:solidFill>
              <a:latin typeface="Calibri"/>
              <a:ea typeface="Calibri"/>
              <a:cs typeface="Calibri"/>
            </a:rPr>
            <a:pPr/>
            <a:t>7%</a:t>
          </a:fld>
          <a:endParaRPr lang="es-DO" sz="8000" b="1">
            <a:solidFill>
              <a:schemeClr val="accent2"/>
            </a:solidFill>
          </a:endParaRPr>
        </a:p>
      </xdr:txBody>
    </xdr:sp>
    <xdr:clientData/>
  </xdr:twoCellAnchor>
  <xdr:twoCellAnchor>
    <xdr:from>
      <xdr:col>0</xdr:col>
      <xdr:colOff>431800</xdr:colOff>
      <xdr:row>11</xdr:row>
      <xdr:rowOff>63500</xdr:rowOff>
    </xdr:from>
    <xdr:to>
      <xdr:col>3</xdr:col>
      <xdr:colOff>609600</xdr:colOff>
      <xdr:row>44</xdr:row>
      <xdr:rowOff>152400</xdr:rowOff>
    </xdr:to>
    <xdr:graphicFrame macro="">
      <xdr:nvGraphicFramePr>
        <xdr:cNvPr id="17" name="Gráfico 16">
          <a:extLst>
            <a:ext uri="{FF2B5EF4-FFF2-40B4-BE49-F238E27FC236}">
              <a16:creationId xmlns:a16="http://schemas.microsoft.com/office/drawing/2014/main" id="{E3BF3110-740D-4F51-8AE0-C5E610C61D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mc:AlternateContent xmlns:mc="http://schemas.openxmlformats.org/markup-compatibility/2006">
    <mc:Choice xmlns:a14="http://schemas.microsoft.com/office/drawing/2010/main" Requires="a14">
      <xdr:twoCellAnchor>
        <xdr:from>
          <xdr:col>2</xdr:col>
          <xdr:colOff>0</xdr:colOff>
          <xdr:row>5</xdr:row>
          <xdr:rowOff>152400</xdr:rowOff>
        </xdr:from>
        <xdr:to>
          <xdr:col>2</xdr:col>
          <xdr:colOff>647700</xdr:colOff>
          <xdr:row>7</xdr:row>
          <xdr:rowOff>27940</xdr:rowOff>
        </xdr:to>
        <xdr:sp macro="" textlink="">
          <xdr:nvSpPr>
            <xdr:cNvPr id="3075" name="Spinner 3" hidden="1">
              <a:extLst>
                <a:ext uri="{63B3BB69-23CF-44E3-9099-C40C66FF867C}">
                  <a14:compatExt spid="_x0000_s3075"/>
                </a:ext>
                <a:ext uri="{FF2B5EF4-FFF2-40B4-BE49-F238E27FC236}">
                  <a16:creationId xmlns:a16="http://schemas.microsoft.com/office/drawing/2014/main" id="{00000000-0008-0000-0300-0000030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6</xdr:row>
          <xdr:rowOff>0</xdr:rowOff>
        </xdr:from>
        <xdr:to>
          <xdr:col>4</xdr:col>
          <xdr:colOff>624840</xdr:colOff>
          <xdr:row>7</xdr:row>
          <xdr:rowOff>0</xdr:rowOff>
        </xdr:to>
        <xdr:sp macro="" textlink="">
          <xdr:nvSpPr>
            <xdr:cNvPr id="3076" name="Spinner 4" hidden="1">
              <a:extLst>
                <a:ext uri="{63B3BB69-23CF-44E3-9099-C40C66FF867C}">
                  <a14:compatExt spid="_x0000_s3076"/>
                </a:ext>
                <a:ext uri="{FF2B5EF4-FFF2-40B4-BE49-F238E27FC236}">
                  <a16:creationId xmlns:a16="http://schemas.microsoft.com/office/drawing/2014/main" id="{00000000-0008-0000-0300-0000040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4.xml><?xml version="1.0" encoding="utf-8"?>
<c:userShapes xmlns:c="http://schemas.openxmlformats.org/drawingml/2006/chart">
  <cdr:relSizeAnchor xmlns:cdr="http://schemas.openxmlformats.org/drawingml/2006/chartDrawing">
    <cdr:from>
      <cdr:x>0.08125</cdr:x>
      <cdr:y>0</cdr:y>
    </cdr:from>
    <cdr:to>
      <cdr:x>0.90889</cdr:x>
      <cdr:y>0.27118</cdr:y>
    </cdr:to>
    <cdr:sp macro="" textlink="">
      <cdr:nvSpPr>
        <cdr:cNvPr id="2" name="TextBox 4">
          <a:extLst xmlns:a="http://schemas.openxmlformats.org/drawingml/2006/main">
            <a:ext uri="{FF2B5EF4-FFF2-40B4-BE49-F238E27FC236}">
              <a16:creationId xmlns:a16="http://schemas.microsoft.com/office/drawing/2014/main" id="{00000000-0008-0000-0400-000005000000}"/>
            </a:ext>
          </a:extLst>
        </cdr:cNvPr>
        <cdr:cNvSpPr txBox="1"/>
      </cdr:nvSpPr>
      <cdr:spPr>
        <a:xfrm xmlns:a="http://schemas.openxmlformats.org/drawingml/2006/main">
          <a:off x="373530" y="0"/>
          <a:ext cx="3804930" cy="466759"/>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GB" sz="2200" b="1">
              <a:solidFill>
                <a:schemeClr val="tx1">
                  <a:lumMod val="75000"/>
                  <a:lumOff val="25000"/>
                </a:schemeClr>
              </a:solidFill>
            </a:rPr>
            <a:t>Tendencias </a:t>
          </a:r>
          <a:r>
            <a:rPr lang="en-GB" sz="2200" b="1">
              <a:solidFill>
                <a:schemeClr val="accent1"/>
              </a:solidFill>
            </a:rPr>
            <a:t>Salario</a:t>
          </a:r>
          <a:r>
            <a:rPr lang="en-GB" sz="2200" b="1">
              <a:solidFill>
                <a:schemeClr val="tx1">
                  <a:lumMod val="75000"/>
                  <a:lumOff val="25000"/>
                </a:schemeClr>
              </a:solidFill>
            </a:rPr>
            <a:t> y </a:t>
          </a:r>
          <a:r>
            <a:rPr lang="en-GB" sz="2200" b="1">
              <a:solidFill>
                <a:schemeClr val="accent2"/>
              </a:solidFill>
            </a:rPr>
            <a:t>Empleo</a:t>
          </a:r>
          <a:r>
            <a:rPr lang="en-GB" sz="2200" b="1">
              <a:solidFill>
                <a:schemeClr val="tx1">
                  <a:lumMod val="75000"/>
                  <a:lumOff val="25000"/>
                </a:schemeClr>
              </a:solidFill>
            </a:rPr>
            <a:t> </a:t>
          </a:r>
        </a:p>
      </cdr:txBody>
    </cdr:sp>
  </cdr:relSizeAnchor>
</c:userShapes>
</file>

<file path=xl/richData/_rels/rdRichValueWebImage.xml.rels><?xml version="1.0" encoding="UTF-8" standalone="yes"?>
<Relationships xmlns="http://schemas.openxmlformats.org/package/2006/relationships"><Relationship Id="rId26" Type="http://schemas.openxmlformats.org/officeDocument/2006/relationships/hyperlink" Target="https://www.bing.com/images/search?form=xlimg&amp;q=Iowa" TargetMode="External"/><Relationship Id="rId21" Type="http://schemas.openxmlformats.org/officeDocument/2006/relationships/hyperlink" Target="https://www.bing.com/th?id=OSK.78ba50cb2865d06a5e16e1016f21685d&amp;qlt=95" TargetMode="External"/><Relationship Id="rId42" Type="http://schemas.openxmlformats.org/officeDocument/2006/relationships/hyperlink" Target="https://www.bing.com/images/search?form=xlimg&amp;q=Minnesota" TargetMode="External"/><Relationship Id="rId47" Type="http://schemas.openxmlformats.org/officeDocument/2006/relationships/hyperlink" Target="https://www.bing.com/th?id=OSK.3feae031df2b8fb40db8900272d682b9&amp;qlt=95" TargetMode="External"/><Relationship Id="rId63" Type="http://schemas.openxmlformats.org/officeDocument/2006/relationships/hyperlink" Target="https://www.bing.com/th?id=OSK.4FBMPnnk61-oAr6GbAm66wy_85qRltJgR_Rljyjdh9s&amp;qlt=95" TargetMode="External"/><Relationship Id="rId68" Type="http://schemas.openxmlformats.org/officeDocument/2006/relationships/hyperlink" Target="https://www.bing.com/images/search?form=xlimg&amp;q=Oklahoma" TargetMode="External"/><Relationship Id="rId84" Type="http://schemas.openxmlformats.org/officeDocument/2006/relationships/hyperlink" Target="https://www.bing.com/images/search?form=xlimg&amp;q=Utah" TargetMode="External"/><Relationship Id="rId89" Type="http://schemas.openxmlformats.org/officeDocument/2006/relationships/hyperlink" Target="https://www.bing.com/th?id=OSK.c93832872ec0dad4a158b06bab80ac3b&amp;qlt=95" TargetMode="External"/><Relationship Id="rId16" Type="http://schemas.openxmlformats.org/officeDocument/2006/relationships/hyperlink" Target="https://www.bing.com/images/search?form=xlimg&amp;q=Florida" TargetMode="External"/><Relationship Id="rId11" Type="http://schemas.openxmlformats.org/officeDocument/2006/relationships/hyperlink" Target="https://www.bing.com/th?id=OSK.4da0eae7cdcdb96bb2375e1798e5d46f&amp;qlt=95" TargetMode="External"/><Relationship Id="rId32" Type="http://schemas.openxmlformats.org/officeDocument/2006/relationships/hyperlink" Target="https://www.bing.com/images/search?form=xlimg&amp;q=Luisiana" TargetMode="External"/><Relationship Id="rId37" Type="http://schemas.openxmlformats.org/officeDocument/2006/relationships/hyperlink" Target="https://www.bing.com/th?id=OSK.91177b9506387d932ce30e94c96501e9&amp;qlt=95" TargetMode="External"/><Relationship Id="rId53" Type="http://schemas.openxmlformats.org/officeDocument/2006/relationships/hyperlink" Target="https://www.bing.com/th?id=OSK.50d3d9435758d586a3dfa6cb4ae8540b&amp;qlt=95" TargetMode="External"/><Relationship Id="rId58" Type="http://schemas.openxmlformats.org/officeDocument/2006/relationships/hyperlink" Target="https://www.bing.com/images/search?form=xlimg&amp;q=Nuevo%20M%c3%a9xico" TargetMode="External"/><Relationship Id="rId74" Type="http://schemas.openxmlformats.org/officeDocument/2006/relationships/hyperlink" Target="https://www.bing.com/images/search?form=xlimg&amp;q=Rhode%20Island" TargetMode="External"/><Relationship Id="rId79" Type="http://schemas.openxmlformats.org/officeDocument/2006/relationships/hyperlink" Target="https://www.bing.com/th?id=OSK.41a290512e0108daf17928e8fbd8edce&amp;qlt=95" TargetMode="External"/><Relationship Id="rId5" Type="http://schemas.openxmlformats.org/officeDocument/2006/relationships/hyperlink" Target="https://www.bing.com/th?id=OSK.1257aecda4a5182a1cb581adb4cb4e5a&amp;qlt=95" TargetMode="External"/><Relationship Id="rId90" Type="http://schemas.openxmlformats.org/officeDocument/2006/relationships/hyperlink" Target="https://www.bing.com/images/search?form=xlimg&amp;q=Washington%20(estado)" TargetMode="External"/><Relationship Id="rId95" Type="http://schemas.openxmlformats.org/officeDocument/2006/relationships/hyperlink" Target="https://www.bing.com/th?id=OSK.f2577dd3ba936b8f492290e252ce13da&amp;qlt=95" TargetMode="External"/><Relationship Id="rId22" Type="http://schemas.openxmlformats.org/officeDocument/2006/relationships/hyperlink" Target="https://www.bing.com/images/search?form=xlimg&amp;q=Illinois" TargetMode="External"/><Relationship Id="rId27" Type="http://schemas.openxmlformats.org/officeDocument/2006/relationships/hyperlink" Target="https://www.bing.com/th?id=OSK.Ft9GEe3aX6xlodTi5_-inw-6oBw_Jilb-wg3helC0CY&amp;qlt=95" TargetMode="External"/><Relationship Id="rId43" Type="http://schemas.openxmlformats.org/officeDocument/2006/relationships/hyperlink" Target="https://www.bing.com/th?id=OSK.6e14227b3bacca3e26959197030c2c4c&amp;qlt=95" TargetMode="External"/><Relationship Id="rId48" Type="http://schemas.openxmlformats.org/officeDocument/2006/relationships/hyperlink" Target="https://www.bing.com/images/search?form=xlimg&amp;q=Montana" TargetMode="External"/><Relationship Id="rId64" Type="http://schemas.openxmlformats.org/officeDocument/2006/relationships/hyperlink" Target="https://www.bing.com/images/search?form=xlimg&amp;q=Dakota%20del%20Norte" TargetMode="External"/><Relationship Id="rId69" Type="http://schemas.openxmlformats.org/officeDocument/2006/relationships/hyperlink" Target="https://www.bing.com/th?id=OSK.caedf360b5ffb8147868cb64f3ef3126&amp;qlt=95" TargetMode="External"/><Relationship Id="rId8" Type="http://schemas.openxmlformats.org/officeDocument/2006/relationships/hyperlink" Target="https://www.bing.com/images/search?form=xlimg&amp;q=California" TargetMode="External"/><Relationship Id="rId51" Type="http://schemas.openxmlformats.org/officeDocument/2006/relationships/hyperlink" Target="https://www.bing.com/th?id=OSK.6d191ac5e2679f73ef9f324ab18f6f5b&amp;qlt=95" TargetMode="External"/><Relationship Id="rId72" Type="http://schemas.openxmlformats.org/officeDocument/2006/relationships/hyperlink" Target="https://www.bing.com/images/search?form=xlimg&amp;q=Pensilvania" TargetMode="External"/><Relationship Id="rId80" Type="http://schemas.openxmlformats.org/officeDocument/2006/relationships/hyperlink" Target="https://www.bing.com/images/search?form=xlimg&amp;q=Tennessee" TargetMode="External"/><Relationship Id="rId85" Type="http://schemas.openxmlformats.org/officeDocument/2006/relationships/hyperlink" Target="https://www.bing.com/th?id=OSK.3fd72ef0d48d867eff1e6cae10828464&amp;qlt=95" TargetMode="External"/><Relationship Id="rId93" Type="http://schemas.openxmlformats.org/officeDocument/2006/relationships/hyperlink" Target="https://www.bing.com/th?id=OSK.4106b6e40158d43a680a86eccf572822&amp;qlt=95" TargetMode="External"/><Relationship Id="rId3" Type="http://schemas.openxmlformats.org/officeDocument/2006/relationships/hyperlink" Target="https://www.bing.com/th?id=OSK.96bf4a3d32f413a76d79ad52a3d16ee9&amp;qlt=95" TargetMode="External"/><Relationship Id="rId12" Type="http://schemas.openxmlformats.org/officeDocument/2006/relationships/hyperlink" Target="https://www.bing.com/images/search?form=xlimg&amp;q=Connecticut" TargetMode="External"/><Relationship Id="rId17" Type="http://schemas.openxmlformats.org/officeDocument/2006/relationships/hyperlink" Target="https://www.bing.com/th?id=OSK.uNGnns5nW7nlKFOC3T-htqT5NLtY5JhhFscp-0OfJ8M&amp;qlt=95" TargetMode="External"/><Relationship Id="rId25" Type="http://schemas.openxmlformats.org/officeDocument/2006/relationships/hyperlink" Target="https://www.bing.com/th?id=OSK.f4566580de53764cb9e3ab1660fd893b&amp;qlt=95" TargetMode="External"/><Relationship Id="rId33" Type="http://schemas.openxmlformats.org/officeDocument/2006/relationships/hyperlink" Target="https://www.bing.com/th?id=OSK.efaace455dab279ff978685d10402e21&amp;qlt=95" TargetMode="External"/><Relationship Id="rId38" Type="http://schemas.openxmlformats.org/officeDocument/2006/relationships/hyperlink" Target="https://www.bing.com/images/search?form=xlimg&amp;q=Massachusetts" TargetMode="External"/><Relationship Id="rId46" Type="http://schemas.openxmlformats.org/officeDocument/2006/relationships/hyperlink" Target="https://www.bing.com/images/search?form=xlimg&amp;q=Misuri" TargetMode="External"/><Relationship Id="rId59" Type="http://schemas.openxmlformats.org/officeDocument/2006/relationships/hyperlink" Target="https://www.bing.com/th?id=OSK.e91cce2871125f2fe1c63b9ba94d42d9&amp;qlt=95" TargetMode="External"/><Relationship Id="rId67" Type="http://schemas.openxmlformats.org/officeDocument/2006/relationships/hyperlink" Target="https://www.bing.com/th?id=OSK.fa227956b5379aa86ccc7a462f355887&amp;qlt=95" TargetMode="External"/><Relationship Id="rId20" Type="http://schemas.openxmlformats.org/officeDocument/2006/relationships/hyperlink" Target="https://www.bing.com/images/search?form=xlimg&amp;q=Idaho" TargetMode="External"/><Relationship Id="rId41" Type="http://schemas.openxmlformats.org/officeDocument/2006/relationships/hyperlink" Target="https://www.bing.com/th?id=OSK.e7c6c27cacb7f724996309411f44b722&amp;qlt=95" TargetMode="External"/><Relationship Id="rId54" Type="http://schemas.openxmlformats.org/officeDocument/2006/relationships/hyperlink" Target="https://www.bing.com/images/search?form=xlimg&amp;q=Nuevo%20Hampshire" TargetMode="External"/><Relationship Id="rId62" Type="http://schemas.openxmlformats.org/officeDocument/2006/relationships/hyperlink" Target="https://www.bing.com/images/search?form=xlimg&amp;q=Carolina%20del%20Norte" TargetMode="External"/><Relationship Id="rId70" Type="http://schemas.openxmlformats.org/officeDocument/2006/relationships/hyperlink" Target="https://www.bing.com/images/search?form=xlimg&amp;q=Oreg%c3%b3n" TargetMode="External"/><Relationship Id="rId75" Type="http://schemas.openxmlformats.org/officeDocument/2006/relationships/hyperlink" Target="https://www.bing.com/th?id=OSK.3d32730b311bdaaaf8e735552bfebf19&amp;qlt=95" TargetMode="External"/><Relationship Id="rId83" Type="http://schemas.openxmlformats.org/officeDocument/2006/relationships/hyperlink" Target="https://www.bing.com/th?id=OSK.2f9fdcc2d42982f2f451e15a30d22b0b&amp;qlt=95" TargetMode="External"/><Relationship Id="rId88" Type="http://schemas.openxmlformats.org/officeDocument/2006/relationships/hyperlink" Target="https://www.bing.com/images/search?form=xlimg&amp;q=Virginia" TargetMode="External"/><Relationship Id="rId91" Type="http://schemas.openxmlformats.org/officeDocument/2006/relationships/hyperlink" Target="https://www.bing.com/th?id=OSK.e55de0ad9397dd6a6b948dcfe704d60b&amp;qlt=95" TargetMode="External"/><Relationship Id="rId96" Type="http://schemas.openxmlformats.org/officeDocument/2006/relationships/hyperlink" Target="https://www.bing.com/images/search?form=xlimg&amp;q=Wyoming" TargetMode="External"/><Relationship Id="rId1" Type="http://schemas.openxmlformats.org/officeDocument/2006/relationships/hyperlink" Target="https://www.bing.com/th?id=OSK.d50ca7ddf51660e7a3fb2d1213761422&amp;qlt=95" TargetMode="External"/><Relationship Id="rId6" Type="http://schemas.openxmlformats.org/officeDocument/2006/relationships/hyperlink" Target="https://www.bing.com/images/search?form=xlimg&amp;q=Arkansas" TargetMode="External"/><Relationship Id="rId15" Type="http://schemas.openxmlformats.org/officeDocument/2006/relationships/hyperlink" Target="https://www.bing.com/th?id=OSK.8346896eae10ae4a5d80059a0b2a9916&amp;qlt=95" TargetMode="External"/><Relationship Id="rId23" Type="http://schemas.openxmlformats.org/officeDocument/2006/relationships/hyperlink" Target="https://www.bing.com/th?id=OSK.47d9e3101efc79e2856cce11c38ac84d&amp;qlt=95" TargetMode="External"/><Relationship Id="rId28" Type="http://schemas.openxmlformats.org/officeDocument/2006/relationships/hyperlink" Target="https://www.bing.com/images/search?form=xlimg&amp;q=Kansas" TargetMode="External"/><Relationship Id="rId36" Type="http://schemas.openxmlformats.org/officeDocument/2006/relationships/hyperlink" Target="https://www.bing.com/images/search?form=xlimg&amp;q=Maryland" TargetMode="External"/><Relationship Id="rId49" Type="http://schemas.openxmlformats.org/officeDocument/2006/relationships/hyperlink" Target="https://www.bing.com/th?id=OSK.705ce7dc47131b305599b76095ea38af&amp;qlt=95" TargetMode="External"/><Relationship Id="rId57" Type="http://schemas.openxmlformats.org/officeDocument/2006/relationships/hyperlink" Target="https://www.bing.com/th?id=OSK.cf2b2dfc8f183a83d72a4b4b1f5e4f89&amp;qlt=95" TargetMode="External"/><Relationship Id="rId10" Type="http://schemas.openxmlformats.org/officeDocument/2006/relationships/hyperlink" Target="https://www.bing.com/images/search?form=xlimg&amp;q=Colorado" TargetMode="External"/><Relationship Id="rId31" Type="http://schemas.openxmlformats.org/officeDocument/2006/relationships/hyperlink" Target="https://www.bing.com/th?id=OSK.c77fe28400254f44f8a25a1258f16bf8&amp;qlt=95" TargetMode="External"/><Relationship Id="rId44" Type="http://schemas.openxmlformats.org/officeDocument/2006/relationships/hyperlink" Target="https://www.bing.com/images/search?form=xlimg&amp;q=Misisipi" TargetMode="External"/><Relationship Id="rId52" Type="http://schemas.openxmlformats.org/officeDocument/2006/relationships/hyperlink" Target="https://www.bing.com/images/search?form=xlimg&amp;q=Nevada" TargetMode="External"/><Relationship Id="rId60" Type="http://schemas.openxmlformats.org/officeDocument/2006/relationships/hyperlink" Target="https://www.bing.com/images/search?form=xlimg&amp;q=Nueva%20York%20(estado)" TargetMode="External"/><Relationship Id="rId65" Type="http://schemas.openxmlformats.org/officeDocument/2006/relationships/hyperlink" Target="https://www.bing.com/th?id=OSK.28bc6150e8708958dba2ecb9cb591bb2&amp;qlt=95" TargetMode="External"/><Relationship Id="rId73" Type="http://schemas.openxmlformats.org/officeDocument/2006/relationships/hyperlink" Target="https://www.bing.com/th?id=OSK.0fac6ef53e5ee999baf8ac51a1edca85&amp;qlt=95" TargetMode="External"/><Relationship Id="rId78" Type="http://schemas.openxmlformats.org/officeDocument/2006/relationships/hyperlink" Target="https://www.bing.com/images/search?form=xlimg&amp;q=Dakota%20del%20Sur" TargetMode="External"/><Relationship Id="rId81" Type="http://schemas.openxmlformats.org/officeDocument/2006/relationships/hyperlink" Target="https://www.bing.com/th?id=OSK.a9776713c2750aafa585110c975ec464&amp;qlt=95" TargetMode="External"/><Relationship Id="rId86" Type="http://schemas.openxmlformats.org/officeDocument/2006/relationships/hyperlink" Target="https://www.bing.com/images/search?form=xlimg&amp;q=Vermont" TargetMode="External"/><Relationship Id="rId94" Type="http://schemas.openxmlformats.org/officeDocument/2006/relationships/hyperlink" Target="https://www.bing.com/images/search?form=xlimg&amp;q=Wisconsin" TargetMode="External"/><Relationship Id="rId4" Type="http://schemas.openxmlformats.org/officeDocument/2006/relationships/hyperlink" Target="https://www.bing.com/images/search?form=xlimg&amp;q=Arizona" TargetMode="External"/><Relationship Id="rId9" Type="http://schemas.openxmlformats.org/officeDocument/2006/relationships/hyperlink" Target="https://www.bing.com/th?id=OSK.8898177a4a1fbff2029255b3e0979e9e&amp;qlt=95" TargetMode="External"/><Relationship Id="rId13" Type="http://schemas.openxmlformats.org/officeDocument/2006/relationships/hyperlink" Target="https://www.bing.com/th?id=OSK.317a6a1ac9855eaa4eb4c22379bb57a8&amp;qlt=95" TargetMode="External"/><Relationship Id="rId18" Type="http://schemas.openxmlformats.org/officeDocument/2006/relationships/hyperlink" Target="https://www.bing.com/images/search?form=xlimg&amp;q=Georgia%20(Estados%20Unidos)" TargetMode="External"/><Relationship Id="rId39" Type="http://schemas.openxmlformats.org/officeDocument/2006/relationships/hyperlink" Target="https://www.bing.com/th?id=OSK.ba6671937b5d7ce64f0451c77d4ef092&amp;qlt=95" TargetMode="External"/><Relationship Id="rId34" Type="http://schemas.openxmlformats.org/officeDocument/2006/relationships/hyperlink" Target="https://www.bing.com/images/search?form=xlimg&amp;q=Maine" TargetMode="External"/><Relationship Id="rId50" Type="http://schemas.openxmlformats.org/officeDocument/2006/relationships/hyperlink" Target="https://www.bing.com/images/search?form=xlimg&amp;q=Nebraska" TargetMode="External"/><Relationship Id="rId55" Type="http://schemas.openxmlformats.org/officeDocument/2006/relationships/hyperlink" Target="https://www.bing.com/th?id=OSK.cbfb5999c299d1e0fa4daf5e88c51074&amp;qlt=95" TargetMode="External"/><Relationship Id="rId76" Type="http://schemas.openxmlformats.org/officeDocument/2006/relationships/hyperlink" Target="https://www.bing.com/images/search?form=xlimg&amp;q=Carolina%20del%20Sur" TargetMode="External"/><Relationship Id="rId7" Type="http://schemas.openxmlformats.org/officeDocument/2006/relationships/hyperlink" Target="https://www.bing.com/th?id=OSK.6LGeyz7ew-F0PGwS2CgfKf1_g7CSPUZh8QFnaq9phoc&amp;qlt=95" TargetMode="External"/><Relationship Id="rId71" Type="http://schemas.openxmlformats.org/officeDocument/2006/relationships/hyperlink" Target="https://www.bing.com/th?id=OSK.6aaa278060b584e3bf177f470da83103&amp;qlt=95" TargetMode="External"/><Relationship Id="rId92" Type="http://schemas.openxmlformats.org/officeDocument/2006/relationships/hyperlink" Target="https://www.bing.com/images/search?form=xlimg&amp;q=Virginia%20Occidental" TargetMode="External"/><Relationship Id="rId2" Type="http://schemas.openxmlformats.org/officeDocument/2006/relationships/hyperlink" Target="https://www.bing.com/images/search?form=xlimg&amp;q=Alabama" TargetMode="External"/><Relationship Id="rId29" Type="http://schemas.openxmlformats.org/officeDocument/2006/relationships/hyperlink" Target="https://www.bing.com/th?id=OSK.c85f989aa566eca0a06f5cdf816da015&amp;qlt=95" TargetMode="External"/><Relationship Id="rId24" Type="http://schemas.openxmlformats.org/officeDocument/2006/relationships/hyperlink" Target="https://www.bing.com/images/search?form=xlimg&amp;q=Indiana" TargetMode="External"/><Relationship Id="rId40" Type="http://schemas.openxmlformats.org/officeDocument/2006/relationships/hyperlink" Target="https://www.bing.com/images/search?form=xlimg&amp;q=M%c3%adchigan" TargetMode="External"/><Relationship Id="rId45" Type="http://schemas.openxmlformats.org/officeDocument/2006/relationships/hyperlink" Target="https://www.bing.com/th?id=OSK.45563abf8b5876ffc07448fa209bc73e&amp;qlt=95" TargetMode="External"/><Relationship Id="rId66" Type="http://schemas.openxmlformats.org/officeDocument/2006/relationships/hyperlink" Target="https://www.bing.com/images/search?form=xlimg&amp;q=Ohio" TargetMode="External"/><Relationship Id="rId87" Type="http://schemas.openxmlformats.org/officeDocument/2006/relationships/hyperlink" Target="https://www.bing.com/th?id=OSK.f048137000ed36e921de4cc4c3fa382b&amp;qlt=95" TargetMode="External"/><Relationship Id="rId61" Type="http://schemas.openxmlformats.org/officeDocument/2006/relationships/hyperlink" Target="https://www.bing.com/th?id=OSK.2d6d018e057063f22af8216e5413b478&amp;qlt=95" TargetMode="External"/><Relationship Id="rId82" Type="http://schemas.openxmlformats.org/officeDocument/2006/relationships/hyperlink" Target="https://www.bing.com/images/search?form=xlimg&amp;q=Texas" TargetMode="External"/><Relationship Id="rId19" Type="http://schemas.openxmlformats.org/officeDocument/2006/relationships/hyperlink" Target="https://www.bing.com/th?id=OSK.c47de67a0f453fe2c25964ac755e5744&amp;qlt=95" TargetMode="External"/><Relationship Id="rId14" Type="http://schemas.openxmlformats.org/officeDocument/2006/relationships/hyperlink" Target="https://www.bing.com/images/search?form=xlimg&amp;q=Delaware" TargetMode="External"/><Relationship Id="rId30" Type="http://schemas.openxmlformats.org/officeDocument/2006/relationships/hyperlink" Target="https://www.bing.com/images/search?form=xlimg&amp;q=Kentucky" TargetMode="External"/><Relationship Id="rId35" Type="http://schemas.openxmlformats.org/officeDocument/2006/relationships/hyperlink" Target="https://www.bing.com/th?id=OSK.9e878422ba2da2edcb34eb4368dea462&amp;qlt=95" TargetMode="External"/><Relationship Id="rId56" Type="http://schemas.openxmlformats.org/officeDocument/2006/relationships/hyperlink" Target="https://www.bing.com/images/search?form=xlimg&amp;q=Nueva%20Jersey" TargetMode="External"/><Relationship Id="rId77" Type="http://schemas.openxmlformats.org/officeDocument/2006/relationships/hyperlink" Target="https://www.bing.com/th?id=OSK.073b1bc3b17a954218b0a334329bae6a&amp;qlt=95"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rd>
    <address r:id="rId11"/>
    <moreImagesAddress r:id="rId12"/>
  </webImageSrd>
  <webImageSrd>
    <address r:id="rId13"/>
    <moreImagesAddress r:id="rId14"/>
  </webImageSrd>
  <webImageSrd>
    <address r:id="rId15"/>
    <moreImagesAddress r:id="rId16"/>
  </webImageSrd>
  <webImageSrd>
    <address r:id="rId17"/>
    <moreImagesAddress r:id="rId18"/>
  </webImageSrd>
  <webImageSrd>
    <address r:id="rId19"/>
    <moreImagesAddress r:id="rId20"/>
  </webImageSrd>
  <webImageSrd>
    <address r:id="rId21"/>
    <moreImagesAddress r:id="rId22"/>
  </webImageSrd>
  <webImageSrd>
    <address r:id="rId23"/>
    <moreImagesAddress r:id="rId24"/>
  </webImageSrd>
  <webImageSrd>
    <address r:id="rId25"/>
    <moreImagesAddress r:id="rId26"/>
  </webImageSrd>
  <webImageSrd>
    <address r:id="rId27"/>
    <moreImagesAddress r:id="rId28"/>
  </webImageSrd>
  <webImageSrd>
    <address r:id="rId29"/>
    <moreImagesAddress r:id="rId30"/>
  </webImageSrd>
  <webImageSrd>
    <address r:id="rId31"/>
    <moreImagesAddress r:id="rId32"/>
  </webImageSrd>
  <webImageSrd>
    <address r:id="rId33"/>
    <moreImagesAddress r:id="rId34"/>
  </webImageSrd>
  <webImageSrd>
    <address r:id="rId35"/>
    <moreImagesAddress r:id="rId36"/>
  </webImageSrd>
  <webImageSrd>
    <address r:id="rId37"/>
    <moreImagesAddress r:id="rId38"/>
  </webImageSrd>
  <webImageSrd>
    <address r:id="rId39"/>
    <moreImagesAddress r:id="rId40"/>
  </webImageSrd>
  <webImageSrd>
    <address r:id="rId41"/>
    <moreImagesAddress r:id="rId42"/>
  </webImageSrd>
  <webImageSrd>
    <address r:id="rId43"/>
    <moreImagesAddress r:id="rId44"/>
  </webImageSrd>
  <webImageSrd>
    <address r:id="rId45"/>
    <moreImagesAddress r:id="rId46"/>
  </webImageSrd>
  <webImageSrd>
    <address r:id="rId47"/>
    <moreImagesAddress r:id="rId48"/>
  </webImageSrd>
  <webImageSrd>
    <address r:id="rId49"/>
    <moreImagesAddress r:id="rId50"/>
  </webImageSrd>
  <webImageSrd>
    <address r:id="rId51"/>
    <moreImagesAddress r:id="rId52"/>
  </webImageSrd>
  <webImageSrd>
    <address r:id="rId53"/>
    <moreImagesAddress r:id="rId54"/>
  </webImageSrd>
  <webImageSrd>
    <address r:id="rId55"/>
    <moreImagesAddress r:id="rId56"/>
  </webImageSrd>
  <webImageSrd>
    <address r:id="rId57"/>
    <moreImagesAddress r:id="rId58"/>
  </webImageSrd>
  <webImageSrd>
    <address r:id="rId59"/>
    <moreImagesAddress r:id="rId60"/>
  </webImageSrd>
  <webImageSrd>
    <address r:id="rId61"/>
    <moreImagesAddress r:id="rId62"/>
  </webImageSrd>
  <webImageSrd>
    <address r:id="rId63"/>
    <moreImagesAddress r:id="rId64"/>
  </webImageSrd>
  <webImageSrd>
    <address r:id="rId65"/>
    <moreImagesAddress r:id="rId66"/>
  </webImageSrd>
  <webImageSrd>
    <address r:id="rId67"/>
    <moreImagesAddress r:id="rId68"/>
  </webImageSrd>
  <webImageSrd>
    <address r:id="rId69"/>
    <moreImagesAddress r:id="rId70"/>
  </webImageSrd>
  <webImageSrd>
    <address r:id="rId71"/>
    <moreImagesAddress r:id="rId72"/>
  </webImageSrd>
  <webImageSrd>
    <address r:id="rId73"/>
    <moreImagesAddress r:id="rId74"/>
  </webImageSrd>
  <webImageSrd>
    <address r:id="rId75"/>
    <moreImagesAddress r:id="rId76"/>
  </webImageSrd>
  <webImageSrd>
    <address r:id="rId77"/>
    <moreImagesAddress r:id="rId78"/>
  </webImageSrd>
  <webImageSrd>
    <address r:id="rId79"/>
    <moreImagesAddress r:id="rId80"/>
  </webImageSrd>
  <webImageSrd>
    <address r:id="rId81"/>
    <moreImagesAddress r:id="rId82"/>
  </webImageSrd>
  <webImageSrd>
    <address r:id="rId83"/>
    <moreImagesAddress r:id="rId84"/>
  </webImageSrd>
  <webImageSrd>
    <address r:id="rId85"/>
    <moreImagesAddress r:id="rId86"/>
  </webImageSrd>
  <webImageSrd>
    <address r:id="rId87"/>
    <moreImagesAddress r:id="rId88"/>
  </webImageSrd>
  <webImageSrd>
    <address r:id="rId89"/>
    <moreImagesAddress r:id="rId90"/>
  </webImageSrd>
  <webImageSrd>
    <address r:id="rId91"/>
    <moreImagesAddress r:id="rId92"/>
  </webImageSrd>
  <webImageSrd>
    <address r:id="rId93"/>
    <moreImagesAddress r:id="rId94"/>
  </webImageSrd>
  <webImageSrd>
    <address r:id="rId95"/>
    <moreImagesAddress r:id="rId96"/>
  </webImageSrd>
</webImagesSrd>
</file>

<file path=xl/richData/rdarray.xml><?xml version="1.0" encoding="utf-8"?>
<arrayData xmlns="http://schemas.microsoft.com/office/spreadsheetml/2017/richdata2" count="67">
  <a r="1">
    <v t="s">English</v>
  </a>
  <a r="4">
    <v t="r">10</v>
    <v t="r">11</v>
    <v t="r">12</v>
    <v t="r">13</v>
  </a>
  <a r="1">
    <v t="s">Hora estándar del centro</v>
  </a>
  <a r="4">
    <v t="r">47</v>
    <v t="r">48</v>
    <v t="r">49</v>
    <v t="r">50</v>
  </a>
  <a r="1">
    <v t="s">Tiempo de la montaña</v>
  </a>
  <a r="1">
    <v t="s">Idioma inglés</v>
  </a>
  <a r="4">
    <v t="r">84</v>
    <v t="r">85</v>
    <v t="r">86</v>
    <v t="r">87</v>
  </a>
  <a r="4">
    <v t="r">117</v>
    <v t="r">118</v>
    <v t="r">119</v>
    <v t="r">120</v>
  </a>
  <a r="1">
    <v t="s">Huso horario del Pacífico</v>
  </a>
  <a r="4">
    <v t="r">152</v>
    <v t="r">153</v>
    <v t="r">154</v>
    <v t="r">155</v>
  </a>
  <a r="1">
    <v t="s">UTC-07:00</v>
  </a>
  <a r="4">
    <v t="r">186</v>
    <v t="r">187</v>
    <v t="r">188</v>
    <v t="r">189</v>
  </a>
  <a r="1">
    <v t="s">Horario del este de América del Norte</v>
  </a>
  <a r="4">
    <v t="r">220</v>
    <v t="r">221</v>
    <v t="r">222</v>
    <v t="r">223</v>
  </a>
  <a r="3">
    <v t="r">252</v>
    <v t="r">253</v>
    <v t="r">254</v>
  </a>
  <a r="2">
    <v t="s">Horario del este de América del Norte</v>
    <v t="s">Hora estándar del centro</v>
  </a>
  <a r="4">
    <v t="r">280</v>
    <v t="r">281</v>
    <v t="r">282</v>
    <v t="r">283</v>
  </a>
  <a r="4">
    <v t="r">309</v>
    <v t="r">310</v>
    <v t="r">311</v>
    <v t="r">312</v>
  </a>
  <a r="2">
    <v t="s">UTC-07:00</v>
    <v t="s">UTC-08:00</v>
  </a>
  <a r="4">
    <v t="r">340</v>
    <v t="r">341</v>
    <v t="r">342</v>
    <v t="r">343</v>
  </a>
  <a r="4">
    <v t="r">368</v>
    <v t="r">369</v>
    <v t="r">370</v>
    <v t="r">371</v>
  </a>
  <a r="4">
    <v t="r">396</v>
    <v t="r">397</v>
    <v t="r">398</v>
    <v t="r">399</v>
  </a>
  <a r="4">
    <v t="r">424</v>
    <v t="r">425</v>
    <v t="r">426</v>
    <v t="r">427</v>
  </a>
  <a r="4">
    <v t="r">451</v>
    <v t="r">452</v>
    <v t="r">453</v>
    <v t="r">454</v>
  </a>
  <a r="1">
    <v t="s">Francés cajún</v>
  </a>
  <a r="4">
    <v t="r">482</v>
    <v t="r">483</v>
    <v t="r">484</v>
    <v t="r">485</v>
  </a>
  <a r="3">
    <v t="r">510</v>
    <v t="r">511</v>
    <v t="r">512</v>
  </a>
  <a r="4">
    <v t="r">537</v>
    <v t="r">538</v>
    <v t="r">539</v>
    <v t="r">540</v>
  </a>
  <a r="4">
    <v t="r">564</v>
    <v t="r">565</v>
    <v t="r">566</v>
    <v t="r">567</v>
  </a>
  <a r="4">
    <v t="r">592</v>
    <v t="r">593</v>
    <v t="r">594</v>
    <v t="r">595</v>
  </a>
  <a r="4">
    <v t="r">621</v>
    <v t="r">622</v>
    <v t="r">623</v>
    <v t="r">624</v>
  </a>
  <a r="4">
    <v t="r">647</v>
    <v t="r">648</v>
    <v t="r">649</v>
    <v t="r">650</v>
  </a>
  <a r="4">
    <v t="r">673</v>
    <v t="r">674</v>
    <v t="r">675</v>
    <v t="r">676</v>
  </a>
  <a r="4">
    <v t="r">696</v>
    <v t="r">697</v>
    <v t="r">698</v>
    <v t="r">699</v>
  </a>
  <a r="4">
    <v t="r">727</v>
    <v t="r">728</v>
    <v t="r">729</v>
    <v t="r">730</v>
  </a>
  <a r="4">
    <v t="r">754</v>
    <v t="r">755</v>
    <v t="r">756</v>
    <v t="r">757</v>
  </a>
  <a r="2">
    <v t="s">Huso horario del Pacífico</v>
    <v t="s">Tiempo de la montaña</v>
  </a>
  <a r="3">
    <v t="r">782</v>
    <v t="r">783</v>
    <v t="r">784</v>
  </a>
  <a r="4">
    <v t="r">807</v>
    <v t="r">808</v>
    <v t="r">809</v>
    <v t="r">810</v>
  </a>
  <a r="4">
    <v t="r">833</v>
    <v t="r">834</v>
    <v t="r">835</v>
    <v t="r">836</v>
  </a>
  <a r="4">
    <v t="r">856</v>
    <v t="r">857</v>
    <v t="r">858</v>
    <v t="r">859</v>
  </a>
  <a r="4">
    <v t="r">880</v>
    <v t="r">881</v>
    <v t="r">882</v>
    <v t="r">883</v>
  </a>
  <a r="4">
    <v t="r">907</v>
    <v t="r">908</v>
    <v t="r">909</v>
    <v t="r">910</v>
  </a>
  <a r="2">
    <v t="s">Hora estándar del centro</v>
    <v t="s">Tiempo de la montaña</v>
  </a>
  <a r="3">
    <v t="s">English</v>
    <v t="s">De facto</v>
    <v t="s">De iure</v>
  </a>
  <a r="4">
    <v t="r">933</v>
    <v t="r">934</v>
    <v t="r">935</v>
    <v t="r">936</v>
  </a>
  <a r="3">
    <v t="s">Idioma choctaw</v>
    <v t="s">Inglés estadounidense</v>
    <v t="s">Idioma cheroqui</v>
  </a>
  <a r="4">
    <v t="r">958</v>
    <v t="r">959</v>
    <v t="r">960</v>
    <v t="r">961</v>
  </a>
  <a r="1">
    <v t="s">UTC-06:00</v>
  </a>
  <a r="3">
    <v t="s">Idioma inglés</v>
    <v t="s">De facto</v>
    <v t="s">De iure</v>
  </a>
  <a r="4">
    <v t="r">985</v>
    <v t="r">986</v>
    <v t="r">987</v>
    <v t="r">988</v>
  </a>
  <a r="4">
    <v t="r">1009</v>
    <v t="r">1010</v>
    <v t="r">1011</v>
    <v t="r">1012</v>
  </a>
  <a r="3">
    <v t="s">English</v>
    <v t="s">De facto</v>
    <v t="s">De jure</v>
  </a>
  <a r="4">
    <v t="r">1034</v>
    <v t="r">1035</v>
    <v t="r">1036</v>
    <v t="r">1037</v>
  </a>
  <a r="4">
    <v t="r">1058</v>
    <v t="r">1059</v>
    <v t="r">1060</v>
    <v t="r">1061</v>
  </a>
  <a r="2">
    <v t="s">Idioma siux</v>
    <v t="s">Idioma inglés</v>
  </a>
  <a r="4">
    <v t="r">1084</v>
    <v t="r">1085</v>
    <v t="r">1086</v>
    <v t="r">1087</v>
  </a>
  <a r="4">
    <v t="r">1107</v>
    <v t="r">1108</v>
    <v t="r">1109</v>
    <v t="r">1110</v>
  </a>
  <a r="4">
    <v t="r">1131</v>
    <v t="r">1132</v>
    <v t="r">1133</v>
    <v t="r">1134</v>
  </a>
  <a r="4">
    <v t="r">1155</v>
    <v t="r">1156</v>
    <v t="r">1157</v>
    <v t="r">1158</v>
  </a>
  <a r="4">
    <v t="r">1182</v>
    <v t="r">1183</v>
    <v t="r">1184</v>
    <v t="r">1185</v>
  </a>
  <a r="4">
    <v t="r">1207</v>
    <v t="r">1208</v>
    <v t="r">1209</v>
    <v t="r">1210</v>
  </a>
  <a r="2">
    <v t="r">1230</v>
    <v t="r">1231</v>
  </a>
  <a r="2">
    <v t="s">English</v>
    <v t="s">De jure</v>
  </a>
  <a r="4">
    <v t="r">1255</v>
    <v t="r">1256</v>
    <v t="r">1257</v>
    <v t="r">1258</v>
  </a>
  <a r="4">
    <v t="r">1281</v>
    <v t="r">1282</v>
    <v t="r">1283</v>
    <v t="r">1284</v>
  </a>
  <a r="4">
    <v t="r">1304</v>
    <v t="r">1305</v>
    <v t="r">1306</v>
    <v t="r">1307</v>
  </a>
</arrayData>
</file>

<file path=xl/richData/rdrichvalue.xml><?xml version="1.0" encoding="utf-8"?>
<rvData xmlns="http://schemas.microsoft.com/office/spreadsheetml/2017/richdata" count="1318">
  <rv s="0">
    <v>536870912</v>
    <v>Alabama</v>
    <v>376f8b06-52f6-4e72-a31d-311a3563e645</v>
    <v>es-ES</v>
    <v>Map</v>
  </rv>
  <rv s="1">
    <fb>135765</fb>
    <v>12</v>
  </rv>
  <rv s="1">
    <fb>1.7000000000000001E-2</fb>
    <v>13</v>
  </rv>
  <rv s="0">
    <v>536870912</v>
    <v>Montgomery</v>
    <v>94461fee-ea89-40c8-9fd7-0fb277396c57</v>
    <v>es-DO</v>
    <v>Map</v>
  </rv>
  <rv s="0">
    <v>536870912</v>
    <v>Huntsville</v>
    <v>137418fd-4a88-44b7-82ae-882366c96167</v>
    <v>es-DO</v>
    <v>Map</v>
  </rv>
  <rv s="1">
    <fb>1848325</fb>
    <v>12</v>
  </rv>
  <rv s="2">
    <v>0</v>
  </rv>
  <rv s="3">
    <v>0</v>
    <v>10</v>
    <v>0</v>
    <v>7</v>
    <v>0</v>
    <v>Image of Alabama</v>
  </rv>
  <rv s="1">
    <fb>43623</fb>
    <v>14</v>
  </rv>
  <rv s="4">
    <v>https://www.bing.com/search?q=Alabama&amp;form=skydnc</v>
    <v>Aprenda más con Bing</v>
  </rv>
  <rv s="0">
    <v>805306368</v>
    <v>Kay Ivey (Gobernador)</v>
    <v>a2f77bba-b8e2-c4d5-614a-3373a005b8ad</v>
    <v>es-DO</v>
    <v>Generic</v>
  </rv>
  <rv s="0">
    <v>805306368</v>
    <v>Will Ainsworth (Vicegobernador)</v>
    <v>94c54ae1-f876-5341-9b94-0f826d9b10a6</v>
    <v>es-DO</v>
    <v>Generic</v>
  </rv>
  <rv s="0">
    <v>805306368</v>
    <v>Tommy Tuberville (Senado)</v>
    <v>6bb1615c-dfe2-d8f2-c1a4-3ada7a909798</v>
    <v>es-DO</v>
    <v>Generic</v>
  </rv>
  <rv s="0">
    <v>805306368</v>
    <v>Katie Britt (Senado)</v>
    <v>9d3200b7-4be3-519b-5b79-781f390d3cb2</v>
    <v>es-DO</v>
    <v>Generic</v>
  </rv>
  <rv s="2">
    <v>1</v>
  </rv>
  <rv s="0">
    <v>536870912</v>
    <v>Estados Unidos</v>
    <v>5232ed96-85b1-2edb-12c6-63e6c597a1de</v>
    <v>es-DO</v>
    <v>Map</v>
  </rv>
  <rv s="1">
    <fb>15001</fb>
    <v>12</v>
  </rv>
  <rv s="1">
    <fb>2.5499999999999998</fb>
    <v>15</v>
  </rv>
  <rv s="1">
    <fb>5157699</fb>
    <v>12</v>
  </rv>
  <rv s="1">
    <fb>1.3999999999999999E-2</fb>
    <v>13</v>
  </rv>
  <rv s="1">
    <fb>0.69499999999999995</fb>
    <v>13</v>
  </rv>
  <rv s="1">
    <fb>1.6E-2</fb>
    <v>13</v>
  </rv>
  <rv s="1">
    <fb>0.57999999999999996</fb>
    <v>13</v>
  </rv>
  <rv s="1">
    <fb>0.84299999999999997</fb>
    <v>13</v>
  </rv>
  <rv s="1">
    <fb>4.2000000000000003E-2</fb>
    <v>13</v>
  </rv>
  <rv s="1">
    <fb>6.9999999999999993E-3</fb>
    <v>16</v>
  </rv>
  <rv s="1">
    <fb>0.23499999999999999</fb>
    <v>13</v>
  </rv>
  <rv s="1">
    <fb>0.157</fb>
    <v>13</v>
  </rv>
  <rv s="1">
    <fb>0.06</fb>
    <v>13</v>
  </rv>
  <rv s="1">
    <fb>0.22699999999999998</fb>
    <v>13</v>
  </rv>
  <rv s="1">
    <fb>1E-3</fb>
    <v>13</v>
  </rv>
  <rv s="1">
    <fb>0.26800000000000002</fb>
    <v>13</v>
  </rv>
  <rv s="1">
    <fb>0.11800000000000001</fb>
    <v>13</v>
  </rv>
  <rv s="1">
    <fb>3.5000000000000003E-2</fb>
    <v>13</v>
  </rv>
  <rv s="1">
    <fb>717</fb>
    <v>14</v>
  </rv>
  <rv s="1">
    <fb>2230185</fb>
    <v>12</v>
  </rv>
  <rv s="1">
    <fb>125500</fb>
    <v>14</v>
  </rv>
  <rv s="2">
    <v>2</v>
  </rv>
  <rv s="5">
    <v>#VALUE!</v>
    <v>es-ES</v>
    <v>376f8b06-52f6-4e72-a31d-311a3563e645</v>
    <v>536870912</v>
    <v>1</v>
    <v>4</v>
    <v>5</v>
    <v>6</v>
    <v>Alabama</v>
    <v>8</v>
    <v>9</v>
    <v>Map</v>
    <v>10</v>
    <v>11</v>
    <v>US-AL</v>
    <v>1</v>
    <v>2</v>
    <v>3</v>
    <v>4</v>
    <v>Alabama es uno de los cincuenta estados que, junto con Washington D. C., forman los Estados Unidos de América. Su capital es Montgomery y su ciudad más poblada Huntsville. Está ubicado en la región Sur del país, división Centro Sureste. Limita ...</v>
    <v>5</v>
    <v>6</v>
    <v>7</v>
    <v>8</v>
    <v>9</v>
    <v>14</v>
    <v>Alabama</v>
    <v>15</v>
    <v>16</v>
    <v>17</v>
    <v>18</v>
    <v>19</v>
    <v>20</v>
    <v>21</v>
    <v>22</v>
    <v>23</v>
    <v>24</v>
    <v>25</v>
    <v>26</v>
    <v>27</v>
    <v>28</v>
    <v>29</v>
    <v>30</v>
    <v>31</v>
    <v>32</v>
    <v>33</v>
    <v>34</v>
    <v>35</v>
    <v>Alabama</v>
    <v>36</v>
    <v>mdp/vdpid/1003</v>
    <v>37</v>
  </rv>
  <rv s="0">
    <v>536870912</v>
    <v>Arizona</v>
    <v>bf973f46-5962-4997-a7ba-a05f1aa2a9f9</v>
    <v>es-ES</v>
    <v>Map</v>
  </rv>
  <rv s="1">
    <fb>295234</fb>
    <v>12</v>
  </rv>
  <rv s="1">
    <fb>8.4000000000000005E-2</fb>
    <v>13</v>
  </rv>
  <rv s="0">
    <v>536870912</v>
    <v>Phoenix</v>
    <v>b06044c3-41e1-4e2a-bba7-27a29bba8ea9</v>
    <v>es-DO</v>
    <v>Map</v>
  </rv>
  <rv s="1">
    <fb>2412212</fb>
    <v>12</v>
  </rv>
  <rv s="3">
    <v>1</v>
    <v>10</v>
    <v>17</v>
    <v>7</v>
    <v>0</v>
    <v>Image of Arizona</v>
  </rv>
  <rv s="1">
    <fb>50255</fb>
    <v>14</v>
  </rv>
  <rv s="4">
    <v>https://www.bing.com/search?q=Arizona&amp;form=skydnc</v>
    <v>Aprenda más con Bing</v>
  </rv>
  <rv s="0">
    <v>805306368</v>
    <v>Katie Hobbs (Gobernador)</v>
    <v>05adb62e-e735-4e07-b8db-01b500d8f313</v>
    <v>es-DO</v>
    <v>Generic</v>
  </rv>
  <rv s="0">
    <v>805306368</v>
    <v>Adrian Fontes (Secretario de Estado)</v>
    <v>0c546f0f-c55b-c9c4-74cd-81b6c0d421d9</v>
    <v>es-DO</v>
    <v>Generic</v>
  </rv>
  <rv s="0">
    <v>805306368</v>
    <v>Mark E. Kelly (Senado)</v>
    <v>7378c94d-66d6-3a6c-42fd-639c9bfc1491</v>
    <v>es-DO</v>
    <v>Generic</v>
  </rv>
  <rv s="0">
    <v>805306368</v>
    <v>Ruben Gallego (Senado)</v>
    <v>9072078c-6591-4962-bbfd-eeadf6fa0184</v>
    <v>es-DO</v>
    <v>Generic</v>
  </rv>
  <rv s="2">
    <v>3</v>
  </rv>
  <rv s="1">
    <fb>35578</fb>
    <v>12</v>
  </rv>
  <rv s="1">
    <fb>2.69</fb>
    <v>15</v>
  </rv>
  <rv s="1">
    <fb>7582384</fb>
    <v>12</v>
  </rv>
  <rv s="1">
    <fb>3.4000000000000002E-2</fb>
    <v>13</v>
  </rv>
  <rv s="1">
    <fb>0.83499999999999996</fb>
    <v>13</v>
  </rv>
  <rv s="1">
    <fb>2.7000000000000003E-2</fb>
    <v>13</v>
  </rv>
  <rv s="1">
    <fb>0.59299999999999997</fb>
    <v>13</v>
  </rv>
  <rv s="1">
    <fb>0.86</fb>
    <v>13</v>
  </rv>
  <rv s="1">
    <fb>0.307</fb>
    <v>13</v>
  </rv>
  <rv s="1">
    <fb>5.2999999999999999E-2</fb>
    <v>16</v>
  </rv>
  <rv s="1">
    <fb>0.27500000000000002</fb>
    <v>13</v>
  </rv>
  <rv s="1">
    <fb>0.16399999999999998</fb>
    <v>13</v>
  </rv>
  <rv s="1">
    <fb>6.3E-2</fb>
    <v>13</v>
  </rv>
  <rv s="1">
    <fb>0.23800000000000002</fb>
    <v>13</v>
  </rv>
  <rv s="1">
    <fb>3.0000000000000001E-3</fb>
    <v>13</v>
  </rv>
  <rv s="1">
    <fb>4.8000000000000001E-2</fb>
    <v>13</v>
  </rv>
  <rv s="1">
    <fb>8.199999999999999E-2</fb>
    <v>13</v>
  </rv>
  <rv s="1">
    <fb>0.13500000000000001</fb>
    <v>13</v>
  </rv>
  <rv s="1">
    <fb>913</fb>
    <v>14</v>
  </rv>
  <rv s="1">
    <fb>2961003</fb>
    <v>12</v>
  </rv>
  <rv s="1">
    <fb>167500</fb>
    <v>14</v>
  </rv>
  <rv s="2">
    <v>4</v>
  </rv>
  <rv s="5">
    <v>#VALUE!</v>
    <v>es-ES</v>
    <v>bf973f46-5962-4997-a7ba-a05f1aa2a9f9</v>
    <v>536870912</v>
    <v>1</v>
    <v>20</v>
    <v>5</v>
    <v>6</v>
    <v>Arizona</v>
    <v>8</v>
    <v>9</v>
    <v>Map</v>
    <v>10</v>
    <v>11</v>
    <v>US-AZ</v>
    <v>40</v>
    <v>41</v>
    <v>42</v>
    <v>42</v>
    <v>Arizona es uno de los cincuenta estados que, junto con Washington D. C., forman los Estados Unidos. Su capital y ciudad más poblada es Phoenix. Está ubicado en la parte occidental de EE. UU. Limita al norte con Utah, al noreste con Colorado, al ...</v>
    <v>43</v>
    <v>6</v>
    <v>44</v>
    <v>45</v>
    <v>46</v>
    <v>51</v>
    <v>Arizona</v>
    <v>15</v>
    <v>52</v>
    <v>53</v>
    <v>54</v>
    <v>55</v>
    <v>56</v>
    <v>57</v>
    <v>58</v>
    <v>59</v>
    <v>60</v>
    <v>61</v>
    <v>62</v>
    <v>63</v>
    <v>64</v>
    <v>65</v>
    <v>66</v>
    <v>67</v>
    <v>68</v>
    <v>69</v>
    <v>70</v>
    <v>71</v>
    <v>Arizona</v>
    <v>72</v>
    <v>mdp/vdpid/1945</v>
    <v>73</v>
  </rv>
  <rv s="0">
    <v>536870912</v>
    <v>Arkansas</v>
    <v>b939db72-08f2-4ea6-a16a-a53bf32e6612</v>
    <v>es-ES</v>
    <v>Map</v>
  </rv>
  <rv s="1">
    <fb>137733</fb>
    <v>12</v>
  </rv>
  <rv s="1">
    <fb>2.5000000000000001E-2</fb>
    <v>13</v>
  </rv>
  <rv s="0">
    <v>536870912</v>
    <v>Little Rock</v>
    <v>2039fcee-c7a5-4241-930b-d2c6d17bae74</v>
    <v>es-DO</v>
    <v>Map</v>
  </rv>
  <rv s="1">
    <fb>1138025</fb>
    <v>12</v>
  </rv>
  <rv s="2">
    <v>5</v>
  </rv>
  <rv s="3">
    <v>2</v>
    <v>10</v>
    <v>21</v>
    <v>7</v>
    <v>0</v>
    <v>Image of Arkansas</v>
  </rv>
  <rv s="1">
    <fb>41371</fb>
    <v>14</v>
  </rv>
  <rv s="4">
    <v>https://www.bing.com/search?q=Arkansas&amp;form=skydnc</v>
    <v>Aprenda más con Bing</v>
  </rv>
  <rv s="0">
    <v>805306368</v>
    <v>Sarah Huckabee Sanders (Gobernador)</v>
    <v>794a8222-ef7c-184f-be8d-1e95d28290a2</v>
    <v>es-DO</v>
    <v>Generic</v>
  </rv>
  <rv s="0">
    <v>805306368</v>
    <v>Leslie Rutledge (Vicegobernador)</v>
    <v>1df1c81e-109f-d6a6-5a0a-52a5e8e4ee06</v>
    <v>es-DO</v>
    <v>Generic</v>
  </rv>
  <rv s="0">
    <v>805306368</v>
    <v>John Boozman (Senado)</v>
    <v>c68cff47-f645-0a65-99db-e7b69235c7dd</v>
    <v>es-DO</v>
    <v>Generic</v>
  </rv>
  <rv s="0">
    <v>805306368</v>
    <v>Tom Cotton (Senado)</v>
    <v>b5cb098f-a265-a017-5a94-8fefa33bdbf8</v>
    <v>es-DO</v>
    <v>Generic</v>
  </rv>
  <rv s="2">
    <v>6</v>
  </rv>
  <rv s="1">
    <fb>9474</fb>
    <v>12</v>
  </rv>
  <rv s="1">
    <fb>2.5299999999999998</fb>
    <v>15</v>
  </rv>
  <rv s="1">
    <fb>3088354</fb>
    <v>12</v>
  </rv>
  <rv s="1">
    <fb>0.79500000000000004</fb>
    <v>13</v>
  </rv>
  <rv s="1">
    <fb>0.02</fb>
    <v>13</v>
  </rv>
  <rv s="1">
    <fb>0.58499999999999996</fb>
    <v>13</v>
  </rv>
  <rv s="1">
    <fb>0.84799999999999998</fb>
    <v>13</v>
  </rv>
  <rv s="1">
    <fb>7.2000000000000008E-2</fb>
    <v>13</v>
  </rv>
  <rv s="1">
    <fb>0.01</fb>
    <v>16</v>
  </rv>
  <rv s="1">
    <fb>0.21100000000000002</fb>
    <v>13</v>
  </rv>
  <rv s="1">
    <fb>0.16</fb>
    <v>13</v>
  </rv>
  <rv s="1">
    <fb>6.4000000000000001E-2</fb>
    <v>13</v>
  </rv>
  <rv s="1">
    <fb>0.23699999999999999</fb>
    <v>13</v>
  </rv>
  <rv s="1">
    <fb>0.12300000000000001</fb>
    <v>13</v>
  </rv>
  <rv s="1">
    <fb>4.7E-2</fb>
    <v>13</v>
  </rv>
  <rv s="1">
    <fb>677</fb>
    <v>14</v>
  </rv>
  <rv s="1">
    <fb>1354762</fb>
    <v>12</v>
  </rv>
  <rv s="1">
    <fb>111400</fb>
    <v>14</v>
  </rv>
  <rv s="5">
    <v>#VALUE!</v>
    <v>es-ES</v>
    <v>b939db72-08f2-4ea6-a16a-a53bf32e6612</v>
    <v>536870912</v>
    <v>1</v>
    <v>24</v>
    <v>5</v>
    <v>6</v>
    <v>Arkansas</v>
    <v>8</v>
    <v>9</v>
    <v>Map</v>
    <v>10</v>
    <v>11</v>
    <v>US-AR</v>
    <v>76</v>
    <v>77</v>
    <v>78</v>
    <v>78</v>
    <v>Arkansas es uno de los cincuenta estados que, junto con Washington D. C., forman los Estados Unidos. Su capital y ciudad más poblada es Little Rock. Está ubicado en la región Sur del país, división Centro Suroeste. Limita al norte con Misuri al ...</v>
    <v>79</v>
    <v>80</v>
    <v>81</v>
    <v>82</v>
    <v>83</v>
    <v>88</v>
    <v>Arkansas</v>
    <v>15</v>
    <v>89</v>
    <v>90</v>
    <v>91</v>
    <v>21</v>
    <v>92</v>
    <v>93</v>
    <v>94</v>
    <v>95</v>
    <v>96</v>
    <v>97</v>
    <v>98</v>
    <v>99</v>
    <v>100</v>
    <v>101</v>
    <v>66</v>
    <v>27</v>
    <v>102</v>
    <v>103</v>
    <v>104</v>
    <v>105</v>
    <v>Arkansas</v>
    <v>106</v>
    <v>mdp/vdpid/1951</v>
    <v>37</v>
  </rv>
  <rv s="0">
    <v>536870912</v>
    <v>California</v>
    <v>3009d91d-d582-4c34-85ba-772ba09e5be1</v>
    <v>es-ES</v>
    <v>Map</v>
  </rv>
  <rv s="1">
    <fb>423970</fb>
    <v>12</v>
  </rv>
  <rv s="1">
    <fb>5.4000000000000006E-2</fb>
    <v>13</v>
  </rv>
  <rv s="0">
    <v>536870912</v>
    <v>Sacramento</v>
    <v>4a1a8070-cc3d-4060-af9c-08ccbbca73d7</v>
    <v>es-DO</v>
    <v>Map</v>
  </rv>
  <rv s="0">
    <v>536870912</v>
    <v>Los Ángeles</v>
    <v>9958ca5c-ea31-4e71-8a17-bd1e7839c723</v>
    <v>es-DO</v>
    <v>Map</v>
  </rv>
  <rv s="1">
    <fb>12717801</fb>
    <v>12</v>
  </rv>
  <rv s="3">
    <v>3</v>
    <v>10</v>
    <v>25</v>
    <v>7</v>
    <v>0</v>
    <v>Image of California</v>
  </rv>
  <rv s="1">
    <fb>61818</fb>
    <v>14</v>
  </rv>
  <rv s="4">
    <v>https://www.bing.com/search?q=California&amp;form=skydnc</v>
    <v>Aprenda más con Bing</v>
  </rv>
  <rv s="0">
    <v>805306368</v>
    <v>Gavin Newsom (Gobernador)</v>
    <v>ddd0ecbf-d7a9-4913-80c4-8eca3d95b4f2</v>
    <v>es-DO</v>
    <v>Generic</v>
  </rv>
  <rv s="0">
    <v>805306368</v>
    <v>Eleni Kounalakis (Vicegobernador)</v>
    <v>c8b4c34f-e58f-d4cc-2651-1b432d67c11a</v>
    <v>es-DO</v>
    <v>Generic</v>
  </rv>
  <rv s="0">
    <v>805306368</v>
    <v>Alex Padilla (Senado)</v>
    <v>7f531c9a-64f3-c8e6-afb0-26647030a74e</v>
    <v>es-DO</v>
    <v>Generic</v>
  </rv>
  <rv s="0">
    <v>805306368</v>
    <v>Adam Schiff (Senado)</v>
    <v>d5c1a692-eb25-8c7a-976b-c75a43f36513</v>
    <v>es-DO</v>
    <v>Generic</v>
  </rv>
  <rv s="2">
    <v>7</v>
  </rv>
  <rv s="1">
    <fb>102350</fb>
    <v>12</v>
  </rv>
  <rv s="1">
    <fb>2.96</fb>
    <v>15</v>
  </rv>
  <rv s="1">
    <fb>39431263</fb>
    <v>12</v>
  </rv>
  <rv s="1">
    <fb>0.14699999999999999</fb>
    <v>13</v>
  </rv>
  <rv s="1">
    <fb>0.72900000000000009</fb>
    <v>13</v>
  </rv>
  <rv s="1">
    <fb>3.7999999999999999E-2</fb>
    <v>13</v>
  </rv>
  <rv s="1">
    <fb>0.63100000000000001</fb>
    <v>13</v>
  </rv>
  <rv s="1">
    <fb>0.81799999999999995</fb>
    <v>13</v>
  </rv>
  <rv s="1">
    <fb>0.38799999999999996</fb>
    <v>13</v>
  </rv>
  <rv s="1">
    <fb>1.7000000000000001E-2</fb>
    <v>16</v>
  </rv>
  <rv s="1">
    <fb>0.314</fb>
    <v>13</v>
  </rv>
  <rv s="1">
    <fb>0.13300000000000001</fb>
    <v>13</v>
  </rv>
  <rv s="1">
    <fb>0.23300000000000001</fb>
    <v>13</v>
  </rv>
  <rv s="1">
    <fb>5.0000000000000001E-3</fb>
    <v>13</v>
  </rv>
  <rv s="1">
    <fb>6.5000000000000002E-2</fb>
    <v>13</v>
  </rv>
  <rv s="1">
    <fb>6.8000000000000005E-2</fb>
    <v>13</v>
  </rv>
  <rv s="1">
    <fb>0.27</fb>
    <v>13</v>
  </rv>
  <rv s="1">
    <fb>1255</fb>
    <v>14</v>
  </rv>
  <rv s="1">
    <fb>14060525</fb>
    <v>12</v>
  </rv>
  <rv s="1">
    <fb>385500</fb>
    <v>14</v>
  </rv>
  <rv s="2">
    <v>8</v>
  </rv>
  <rv s="5">
    <v>#VALUE!</v>
    <v>es-ES</v>
    <v>3009d91d-d582-4c34-85ba-772ba09e5be1</v>
    <v>536870912</v>
    <v>1</v>
    <v>28</v>
    <v>5</v>
    <v>6</v>
    <v>California</v>
    <v>8</v>
    <v>9</v>
    <v>Map</v>
    <v>10</v>
    <v>11</v>
    <v>US-CA</v>
    <v>109</v>
    <v>110</v>
    <v>111</v>
    <v>112</v>
    <v>California es uno de los cincuenta estados que, junto con Washington D. C., forman los Estados Unidos. Su capital es Sacramento, y su ciudad más poblada, Los Ángeles. Está ubicado en la región oeste del país, división Pacífico, limitando al ...</v>
    <v>113</v>
    <v>6</v>
    <v>114</v>
    <v>115</v>
    <v>116</v>
    <v>121</v>
    <v>California</v>
    <v>15</v>
    <v>122</v>
    <v>123</v>
    <v>124</v>
    <v>125</v>
    <v>126</v>
    <v>127</v>
    <v>128</v>
    <v>129</v>
    <v>130</v>
    <v>131</v>
    <v>132</v>
    <v>133</v>
    <v>100</v>
    <v>134</v>
    <v>135</v>
    <v>136</v>
    <v>137</v>
    <v>138</v>
    <v>139</v>
    <v>140</v>
    <v>California</v>
    <v>141</v>
    <v>mdp/vdpid/5599</v>
    <v>142</v>
  </rv>
  <rv s="0">
    <v>536870912</v>
    <v>Colorado</v>
    <v>a070c5c2-b22d-41d8-b869-f20e583c4f80</v>
    <v>es-ES</v>
    <v>Map</v>
  </rv>
  <rv s="1">
    <fb>269837</fb>
    <v>12</v>
  </rv>
  <rv s="1">
    <fb>0.10199999999999999</fb>
    <v>13</v>
  </rv>
  <rv s="0">
    <v>536870912</v>
    <v>Denver</v>
    <v>5a7229b6-72d3-4bfc-a95e-9c35e297c9ff</v>
    <v>es-DO</v>
    <v>Map</v>
  </rv>
  <rv s="1">
    <fb>2024468</fb>
    <v>12</v>
  </rv>
  <rv s="3">
    <v>4</v>
    <v>10</v>
    <v>29</v>
    <v>7</v>
    <v>0</v>
    <v>Image of Colorado</v>
  </rv>
  <rv s="1">
    <fb>60629</fb>
    <v>14</v>
  </rv>
  <rv s="4">
    <v>https://www.bing.com/search?q=Colorado&amp;form=skydnc</v>
    <v>Aprenda más con Bing</v>
  </rv>
  <rv s="0">
    <v>805306368</v>
    <v>Jared Polis (Gobernador)</v>
    <v>5a81ae6e-56e8-4cd2-95d3-f7a1b60eaa75</v>
    <v>es-DO</v>
    <v>Generic</v>
  </rv>
  <rv s="0">
    <v>805306368</v>
    <v>Dianne Primavera (Vicegobernador)</v>
    <v>f4e53c30-335f-00af-307f-4f95e90798de</v>
    <v>es-DO</v>
    <v>Generic</v>
  </rv>
  <rv s="0">
    <v>805306368</v>
    <v>Michael Bennet (Senado)</v>
    <v>93548716-afc5-5fee-8c7d-c4b9489b4d26</v>
    <v>es-DO</v>
    <v>Generic</v>
  </rv>
  <rv s="0">
    <v>805306368</v>
    <v>John Hickenlooper (Senado)</v>
    <v>a8a5bd30-12ce-eafc-0b7b-cc41fa0d798d</v>
    <v>es-DO</v>
    <v>Generic</v>
  </rv>
  <rv s="2">
    <v>9</v>
  </rv>
  <rv s="1">
    <fb>38974</fb>
    <v>12</v>
  </rv>
  <rv s="1">
    <fb>5957493</fb>
    <v>12</v>
  </rv>
  <rv s="1">
    <fb>3.2000000000000001E-2</fb>
    <v>13</v>
  </rv>
  <rv s="1">
    <fb>0.875</fb>
    <v>13</v>
  </rv>
  <rv s="1">
    <fb>2.8999999999999998E-2</fb>
    <v>13</v>
  </rv>
  <rv s="1">
    <fb>0.67599999999999993</fb>
    <v>13</v>
  </rv>
  <rv s="1">
    <fb>0.90700000000000003</fb>
    <v>13</v>
  </rv>
  <rv s="1">
    <fb>0.21299999999999999</fb>
    <v>13</v>
  </rv>
  <rv s="1">
    <fb>1.6E-2</fb>
    <v>16</v>
  </rv>
  <rv s="1">
    <fb>0.38100000000000001</fb>
    <v>13</v>
  </rv>
  <rv s="1">
    <fb>0.13</fb>
    <v>13</v>
  </rv>
  <rv s="1">
    <fb>6.2E-2</fb>
    <v>13</v>
  </rv>
  <rv s="1">
    <fb>0.23</fb>
    <v>13</v>
  </rv>
  <rv s="1">
    <fb>2E-3</fb>
    <v>13</v>
  </rv>
  <rv s="1">
    <fb>4.4999999999999998E-2</fb>
    <v>13</v>
  </rv>
  <rv s="1">
    <fb>9.8000000000000004E-2</fb>
    <v>13</v>
  </rv>
  <rv s="1">
    <fb>1002</fb>
    <v>14</v>
  </rv>
  <rv s="1">
    <fb>2339118</fb>
    <v>12</v>
  </rv>
  <rv s="1">
    <fb>247800</fb>
    <v>14</v>
  </rv>
  <rv s="2">
    <v>10</v>
  </rv>
  <rv s="5">
    <v>#VALUE!</v>
    <v>es-ES</v>
    <v>a070c5c2-b22d-41d8-b869-f20e583c4f80</v>
    <v>536870912</v>
    <v>1</v>
    <v>32</v>
    <v>5</v>
    <v>6</v>
    <v>Colorado</v>
    <v>8</v>
    <v>9</v>
    <v>Map</v>
    <v>10</v>
    <v>11</v>
    <v>US-CO</v>
    <v>145</v>
    <v>146</v>
    <v>147</v>
    <v>147</v>
    <v>Colorado es uno de los cincuenta estados que, junto con Washington D. C., forman los Estados Unidos. Su capital y ciudad más poblada es Denver. Está ubicado en la región Oeste del país, división Montañas Rocosas. Limita al norte con Wyoming, al ...</v>
    <v>148</v>
    <v>6</v>
    <v>149</v>
    <v>150</v>
    <v>151</v>
    <v>156</v>
    <v>Colorado</v>
    <v>15</v>
    <v>157</v>
    <v>17</v>
    <v>158</v>
    <v>159</v>
    <v>160</v>
    <v>161</v>
    <v>162</v>
    <v>163</v>
    <v>164</v>
    <v>165</v>
    <v>166</v>
    <v>167</v>
    <v>168</v>
    <v>169</v>
    <v>170</v>
    <v>171</v>
    <v>96</v>
    <v>172</v>
    <v>173</v>
    <v>174</v>
    <v>Colorado</v>
    <v>175</v>
    <v>mdp/vdpid/7636</v>
    <v>176</v>
  </rv>
  <rv s="0">
    <v>536870912</v>
    <v>Connecticut</v>
    <v>b3ca6523-435e-4a3b-8f78-1ad900a52cf8</v>
    <v>es-ES</v>
    <v>Map</v>
  </rv>
  <rv s="1">
    <fb>14357</fb>
    <v>12</v>
  </rv>
  <rv s="0">
    <v>536870912</v>
    <v>Hartford</v>
    <v>b8b8ebf2-e2da-483f-8643-880dd55aad13</v>
    <v>es-DO</v>
    <v>Map</v>
  </rv>
  <rv s="0">
    <v>536870912</v>
    <v>Bridgeport</v>
    <v>a8869591-489d-40ba-b80b-b6d1e6c19391</v>
    <v>es-DO</v>
    <v>Map</v>
  </rv>
  <rv s="1">
    <fb>1352583</fb>
    <v>12</v>
  </rv>
  <rv s="3">
    <v>5</v>
    <v>10</v>
    <v>33</v>
    <v>7</v>
    <v>0</v>
    <v>Image of Connecticut</v>
  </rv>
  <rv s="1">
    <fb>70331</fb>
    <v>14</v>
  </rv>
  <rv s="4">
    <v>https://www.bing.com/search?q=Connecticut&amp;form=skydnc</v>
    <v>Aprenda más con Bing</v>
  </rv>
  <rv s="0">
    <v>805306368</v>
    <v>Ned Lamont (Gobernador)</v>
    <v>3685f682-77d1-4823-3b8f-bcb46698ef70</v>
    <v>es-DO</v>
    <v>Generic</v>
  </rv>
  <rv s="0">
    <v>805306368</v>
    <v>Susan Bysiewicz (Vicegobernador)</v>
    <v>e8219547-8f75-e4f3-3f07-7b5df6eb7c4c</v>
    <v>es-DO</v>
    <v>Generic</v>
  </rv>
  <rv s="0">
    <v>805306368</v>
    <v>Richard Blumenthal (Senado)</v>
    <v>4e6038a9-b7ca-bb9c-0d4b-a75013d4185b</v>
    <v>es-DO</v>
    <v>Generic</v>
  </rv>
  <rv s="0">
    <v>805306368</v>
    <v>Chris Murphy (Senado)</v>
    <v>693665e4-3df7-8219-3f37-3d54910459d6</v>
    <v>es-DO</v>
    <v>Generic</v>
  </rv>
  <rv s="2">
    <v>11</v>
  </rv>
  <rv s="1">
    <fb>5504</fb>
    <v>12</v>
  </rv>
  <rv s="1">
    <fb>2.57</fb>
    <v>15</v>
  </rv>
  <rv s="1">
    <fb>3675069</fb>
    <v>12</v>
  </rv>
  <rv s="1">
    <fb>4.5999999999999999E-2</fb>
    <v>13</v>
  </rv>
  <rv s="1">
    <fb>0.80799999999999994</fb>
    <v>13</v>
  </rv>
  <rv s="1">
    <fb>2.2000000000000002E-2</fb>
    <v>13</v>
  </rv>
  <rv s="1">
    <fb>0.67200000000000004</fb>
    <v>13</v>
  </rv>
  <rv s="1">
    <fb>0.89900000000000002</fb>
    <v>13</v>
  </rv>
  <rv s="1">
    <fb>0.154</fb>
    <v>13</v>
  </rv>
  <rv s="1">
    <fb>5.0000000000000001E-3</fb>
    <v>16</v>
  </rv>
  <rv s="1">
    <fb>0.376</fb>
    <v>13</v>
  </rv>
  <rv s="1">
    <fb>0.158</fb>
    <v>13</v>
  </rv>
  <rv s="1">
    <fb>5.2000000000000005E-2</fb>
    <v>13</v>
  </rv>
  <rv s="1">
    <fb>0.11599999999999999</fb>
    <v>13</v>
  </rv>
  <rv s="1">
    <fb>7.0999999999999994E-2</fb>
    <v>13</v>
  </rv>
  <rv s="1">
    <fb>0.13900000000000001</fb>
    <v>13</v>
  </rv>
  <rv s="1">
    <fb>1075</fb>
    <v>14</v>
  </rv>
  <rv s="1">
    <fb>1499116</fb>
    <v>12</v>
  </rv>
  <rv s="1">
    <fb>270500</fb>
    <v>14</v>
  </rv>
  <rv s="2">
    <v>12</v>
  </rv>
  <rv s="6">
    <v>#VALUE!</v>
    <v>es-ES</v>
    <v>b3ca6523-435e-4a3b-8f78-1ad900a52cf8</v>
    <v>536870912</v>
    <v>1</v>
    <v>36</v>
    <v>5</v>
    <v>37</v>
    <v>Connecticut</v>
    <v>8</v>
    <v>9</v>
    <v>Map</v>
    <v>10</v>
    <v>11</v>
    <v>US-CT</v>
    <v>179</v>
    <v>30</v>
    <v>180</v>
    <v>181</v>
    <v>Connecticut es uno de los cincuenta estados que, junto con Washington D. C., forman los Estados Unidos de América. Su capital es Hartford y su ciudad más poblada, Bridgeport. Está ubicado en la región Noreste del país, división Nueva Inglaterra, ...</v>
    <v>182</v>
    <v>183</v>
    <v>184</v>
    <v>185</v>
    <v>190</v>
    <v>Connecticut</v>
    <v>15</v>
    <v>191</v>
    <v>192</v>
    <v>193</v>
    <v>194</v>
    <v>195</v>
    <v>196</v>
    <v>197</v>
    <v>198</v>
    <v>199</v>
    <v>200</v>
    <v>201</v>
    <v>202</v>
    <v>203</v>
    <v>164</v>
    <v>30</v>
    <v>204</v>
    <v>205</v>
    <v>206</v>
    <v>207</v>
    <v>208</v>
    <v>Connecticut</v>
    <v>209</v>
    <v>mdp/vdpid/7798</v>
    <v>210</v>
  </rv>
  <rv s="0">
    <v>536870912</v>
    <v>Delaware</v>
    <v>8ad617cc-3d7a-4b3c-a787-098de959ccc4</v>
    <v>es-ES</v>
    <v>Map</v>
  </rv>
  <rv s="1">
    <fb>6452</fb>
    <v>12</v>
  </rv>
  <rv s="0">
    <v>536870912</v>
    <v>Dover</v>
    <v>e2074a3a-aa84-0f74-453a-3167a0a32abc</v>
    <v>es-DO</v>
    <v>Map</v>
  </rv>
  <rv s="0">
    <v>536870912</v>
    <v>Wilmington</v>
    <v>77a8f223-fe51-4aa2-8e3d-6c81e5bc270e</v>
    <v>es-DO</v>
    <v>Map</v>
  </rv>
  <rv s="1">
    <fb>344022</fb>
    <v>12</v>
  </rv>
  <rv s="3">
    <v>6</v>
    <v>10</v>
    <v>38</v>
    <v>7</v>
    <v>0</v>
    <v>Image of Delaware</v>
  </rv>
  <rv s="1">
    <fb>60509</fb>
    <v>14</v>
  </rv>
  <rv s="4">
    <v>https://www.bing.com/search?q=Delaware&amp;form=skydnc</v>
    <v>Aprenda más con Bing</v>
  </rv>
  <rv s="0">
    <v>805306368</v>
    <v>Matt Meyer (Gobernador)</v>
    <v>1e21a522-9406-d511-4ac3-399978ddc1a9</v>
    <v>es-DO</v>
    <v>Generic</v>
  </rv>
  <rv s="0">
    <v>805306368</v>
    <v>Kyle Evans Gay (Vicegobernador)</v>
    <v>d6cdd82b-f578-2c5b-0c7a-f6d548e94ab2</v>
    <v>es-DO</v>
    <v>Generic</v>
  </rv>
  <rv s="0">
    <v>805306368</v>
    <v>Chris Coons (Senado)</v>
    <v>8249148d-abe6-9dcf-9cd0-7df672b27a3a</v>
    <v>es-DO</v>
    <v>Generic</v>
  </rv>
  <rv s="0">
    <v>805306368</v>
    <v>Lisa Blunt Rochester (Senado)</v>
    <v>bc96dce8-e138-c585-78be-05dc81589061</v>
    <v>es-DO</v>
    <v>Generic</v>
  </rv>
  <rv s="2">
    <v>13</v>
  </rv>
  <rv s="1">
    <fb>5804</fb>
    <v>12</v>
  </rv>
  <rv s="1">
    <fb>2.62</fb>
    <v>15</v>
  </rv>
  <rv s="1">
    <fb>1051917</fb>
    <v>12</v>
  </rv>
  <rv s="1">
    <fb>3.9E-2</fb>
    <v>13</v>
  </rv>
  <rv s="1">
    <fb>0.70400000000000007</fb>
    <v>13</v>
  </rv>
  <rv s="1">
    <fb>0.88400000000000001</fb>
    <v>13</v>
  </rv>
  <rv s="1">
    <fb>0.09</fb>
    <v>13</v>
  </rv>
  <rv s="1">
    <fb>0.3</fb>
    <v>13</v>
  </rv>
  <rv s="1">
    <fb>0.17</fb>
    <v>13</v>
  </rv>
  <rv s="1">
    <fb>5.9000000000000004E-2</fb>
    <v>13</v>
  </rv>
  <rv s="1">
    <fb>0.21600000000000003</fb>
    <v>13</v>
  </rv>
  <rv s="1">
    <fb>0.22399999999999998</fb>
    <v>13</v>
  </rv>
  <rv s="1">
    <fb>8.5000000000000006E-2</fb>
    <v>13</v>
  </rv>
  <rv s="1">
    <fb>8.6999999999999994E-2</fb>
    <v>13</v>
  </rv>
  <rv s="1">
    <fb>1018</fb>
    <v>14</v>
  </rv>
  <rv s="1">
    <fb>426149</fb>
    <v>12</v>
  </rv>
  <rv s="1">
    <fb>231500</fb>
    <v>14</v>
  </rv>
  <rv s="6">
    <v>#VALUE!</v>
    <v>es-ES</v>
    <v>8ad617cc-3d7a-4b3c-a787-098de959ccc4</v>
    <v>536870912</v>
    <v>1</v>
    <v>41</v>
    <v>5</v>
    <v>37</v>
    <v>Delaware</v>
    <v>8</v>
    <v>9</v>
    <v>Map</v>
    <v>10</v>
    <v>11</v>
    <v>US-DE</v>
    <v>213</v>
    <v>28</v>
    <v>214</v>
    <v>215</v>
    <v>Delaware es uno de los cincuenta estados que, junto con Washington D. C., forman los Estados Unidos de América. Su capital es Dover y su ciudad más poblada, Wilmington. Está ubicado en la región Nordeste del país, división Atlántico Medio, ...</v>
    <v>216</v>
    <v>217</v>
    <v>218</v>
    <v>219</v>
    <v>224</v>
    <v>Delaware</v>
    <v>15</v>
    <v>225</v>
    <v>226</v>
    <v>227</v>
    <v>228</v>
    <v>229</v>
    <v>77</v>
    <v>128</v>
    <v>230</v>
    <v>231</v>
    <v>25</v>
    <v>232</v>
    <v>233</v>
    <v>234</v>
    <v>235</v>
    <v>30</v>
    <v>236</v>
    <v>237</v>
    <v>238</v>
    <v>239</v>
    <v>240</v>
    <v>Delaware</v>
    <v>241</v>
    <v>mdp/vdpid/8831</v>
    <v>210</v>
  </rv>
  <rv s="0">
    <v>536870912</v>
    <v>Florida</v>
    <v>5fece3f4-e8e8-4159-843e-f725a930ad50</v>
    <v>es-ES</v>
    <v>Map</v>
  </rv>
  <rv s="1">
    <fb>170304</fb>
    <v>12</v>
  </rv>
  <rv s="1">
    <fb>9.6000000000000002E-2</fb>
    <v>13</v>
  </rv>
  <rv s="0">
    <v>536870912</v>
    <v>Tallahassee</v>
    <v>fe8036d9-2764-4483-9405-f07a59b69915</v>
    <v>es-DO</v>
    <v>Map</v>
  </rv>
  <rv s="0">
    <v>536870912</v>
    <v>Jacksonville</v>
    <v>8bd6021b-ea7f-4470-a29b-042b1c82e07f</v>
    <v>es-DO</v>
    <v>Map</v>
  </rv>
  <rv s="1">
    <fb>7300494</fb>
    <v>12</v>
  </rv>
  <rv s="3">
    <v>7</v>
    <v>10</v>
    <v>42</v>
    <v>7</v>
    <v>0</v>
    <v>Image of Florida</v>
  </rv>
  <rv s="1">
    <fb>47507</fb>
    <v>14</v>
  </rv>
  <rv s="4">
    <v>https://www.bing.com/search?q=Florida&amp;form=skydnc</v>
    <v>Aprenda más con Bing</v>
  </rv>
  <rv s="0">
    <v>805306368</v>
    <v>Ron DeSantis (Gobernador)</v>
    <v>1ed346c3-9ad7-8e78-ae55-5ed54b15749a</v>
    <v>es-DO</v>
    <v>Generic</v>
  </rv>
  <rv s="0">
    <v>805306368</v>
    <v>Rick Scott (Senado)</v>
    <v>7a306d31-0926-baab-a271-b42913720a93</v>
    <v>es-DO</v>
    <v>Generic</v>
  </rv>
  <rv s="0">
    <v>805306368</v>
    <v>Ashley Moody (Senado)</v>
    <v>65cb4204-9d4c-cb8d-a4f0-22efc12fd008</v>
    <v>es-DO</v>
    <v>Generic</v>
  </rv>
  <rv s="2">
    <v>14</v>
  </rv>
  <rv s="1">
    <fb>116240</fb>
    <v>12</v>
  </rv>
  <rv s="1">
    <fb>2.63</fb>
    <v>15</v>
  </rv>
  <rv s="1">
    <fb>23372215</fb>
    <v>12</v>
  </rv>
  <rv s="1">
    <fb>2.7999999999999997E-2</fb>
    <v>13</v>
  </rv>
  <rv s="1">
    <fb>0.77700000000000002</fb>
    <v>13</v>
  </rv>
  <rv s="1">
    <fb>0.58799999999999997</fb>
    <v>13</v>
  </rv>
  <rv s="1">
    <fb>0.86900000000000011</fb>
    <v>13</v>
  </rv>
  <rv s="1">
    <fb>0.245</fb>
    <v>13</v>
  </rv>
  <rv s="1">
    <fb>0.27300000000000002</fb>
    <v>13</v>
  </rv>
  <rv s="1">
    <fb>0.19399999999999998</fb>
    <v>13</v>
  </rv>
  <rv s="1">
    <fb>0.20300000000000001</fb>
    <v>13</v>
  </rv>
  <rv s="1">
    <fb>0.16800000000000001</fb>
    <v>13</v>
  </rv>
  <rv s="1">
    <fb>0.19699999999999998</fb>
    <v>13</v>
  </rv>
  <rv s="1">
    <fb>9301642</fb>
    <v>12</v>
  </rv>
  <rv s="1">
    <fb>159000</fb>
    <v>14</v>
  </rv>
  <rv s="2">
    <v>15</v>
  </rv>
  <rv s="5">
    <v>#VALUE!</v>
    <v>es-ES</v>
    <v>5fece3f4-e8e8-4159-843e-f725a930ad50</v>
    <v>536870912</v>
    <v>1</v>
    <v>45</v>
    <v>5</v>
    <v>6</v>
    <v>Florida</v>
    <v>8</v>
    <v>9</v>
    <v>Map</v>
    <v>10</v>
    <v>11</v>
    <v>US-FL</v>
    <v>244</v>
    <v>245</v>
    <v>246</v>
    <v>247</v>
    <v>La Florida o simplemente Florida es uno de los cincuenta estados que, junto con Washington D. C. forman los Estados Unidos. Ubicado en la región meridional del país. Limita al occidente con el golfo de México y Alabama, al norte con Alabama y ...</v>
    <v>248</v>
    <v>6</v>
    <v>249</v>
    <v>250</v>
    <v>251</v>
    <v>255</v>
    <v>Florida</v>
    <v>15</v>
    <v>256</v>
    <v>257</v>
    <v>258</v>
    <v>259</v>
    <v>260</v>
    <v>93</v>
    <v>261</v>
    <v>262</v>
    <v>263</v>
    <v>200</v>
    <v>264</v>
    <v>265</v>
    <v>110</v>
    <v>266</v>
    <v>30</v>
    <v>267</v>
    <v>237</v>
    <v>268</v>
    <v>173</v>
    <v>269</v>
    <v>Florida</v>
    <v>270</v>
    <v>mdp/vdpid/11032</v>
    <v>271</v>
  </rv>
  <rv s="0">
    <v>536870912</v>
    <v>Georgia</v>
    <v>84604bc7-2c47-4f8d-8ea5-b6ac8c018a20</v>
    <v>es-ES</v>
    <v>Map</v>
  </rv>
  <rv s="1">
    <fb>153909</fb>
    <v>12</v>
  </rv>
  <rv s="0">
    <v>536870912</v>
    <v>Atlanta</v>
    <v>1a92f3fa-61f9-4e89-b606-40c945cf18d1</v>
    <v>es-DO</v>
    <v>Map</v>
  </rv>
  <rv s="1">
    <fb>3574362</fb>
    <v>12</v>
  </rv>
  <rv s="3">
    <v>8</v>
    <v>10</v>
    <v>46</v>
    <v>7</v>
    <v>0</v>
    <v>Image of Georgia</v>
  </rv>
  <rv s="1">
    <fb>49620</fb>
    <v>14</v>
  </rv>
  <rv s="4">
    <v>https://www.bing.com/search?q=Georgia+Estados+Unidos&amp;form=skydnc</v>
    <v>Aprenda más con Bing</v>
  </rv>
  <rv s="0">
    <v>805306368</v>
    <v>Brian Kemp (Gobernador)</v>
    <v>6dd4f848-98dc-60f8-90b2-87c7458743fa</v>
    <v>es-DO</v>
    <v>Generic</v>
  </rv>
  <rv s="0">
    <v>805306368</v>
    <v>Burt Jones (Vicegobernador)</v>
    <v>abaf10be-2391-4b78-4c82-8c17faa8bf28</v>
    <v>es-DO</v>
    <v>Generic</v>
  </rv>
  <rv s="0">
    <v>805306368</v>
    <v>Jon Ossoff (Senado)</v>
    <v>9ae32dca-f3b6-c1bc-169f-72008326cb39</v>
    <v>es-DO</v>
    <v>Generic</v>
  </rv>
  <rv s="0">
    <v>805306368</v>
    <v>Raphael Warnock (Senado)</v>
    <v>b1bcb7a9-0286-c285-5a23-52559dfc1b6a</v>
    <v>es-DO</v>
    <v>Generic</v>
  </rv>
  <rv s="2">
    <v>16</v>
  </rv>
  <rv s="1">
    <fb>51675</fb>
    <v>12</v>
  </rv>
  <rv s="1">
    <fb>2.73</fb>
    <v>15</v>
  </rv>
  <rv s="1">
    <fb>11180878</fb>
    <v>12</v>
  </rv>
  <rv s="1">
    <fb>0.04</fb>
    <v>13</v>
  </rv>
  <rv s="1">
    <fb>0.61599999999999999</fb>
    <v>13</v>
  </rv>
  <rv s="1">
    <fb>0.623</fb>
    <v>13</v>
  </rv>
  <rv s="1">
    <fb>0.85400000000000009</fb>
    <v>13</v>
  </rv>
  <rv s="1">
    <fb>9.4E-2</fb>
    <v>13</v>
  </rv>
  <rv s="1">
    <fb>0.28800000000000003</fb>
    <v>13</v>
  </rv>
  <rv s="1">
    <fb>0.128</fb>
    <v>13</v>
  </rv>
  <rv s="1">
    <fb>0.317</fb>
    <v>13</v>
  </rv>
  <rv s="1">
    <fb>8.8000000000000009E-2</fb>
    <v>13</v>
  </rv>
  <rv s="1">
    <fb>879</fb>
    <v>14</v>
  </rv>
  <rv s="1">
    <fb>4218776</fb>
    <v>12</v>
  </rv>
  <rv s="1">
    <fb>148100</fb>
    <v>14</v>
  </rv>
  <rv s="5">
    <v>#VALUE!</v>
    <v>es-ES</v>
    <v>84604bc7-2c47-4f8d-8ea5-b6ac8c018a20</v>
    <v>536870912</v>
    <v>1</v>
    <v>49</v>
    <v>5</v>
    <v>6</v>
    <v>Georgia</v>
    <v>8</v>
    <v>9</v>
    <v>Map</v>
    <v>10</v>
    <v>11</v>
    <v>US-GA</v>
    <v>274</v>
    <v>100</v>
    <v>275</v>
    <v>275</v>
    <v>Georgia es uno de los cincuenta estados que, junto con Washington D. C., conforman los Estados Unidos. Su capital y ciudad más poblada es Atlanta. Está ubicado en la región Sur del país, división Atlántico Sur, limitando al norte con Tennessee y ...</v>
    <v>276</v>
    <v>6</v>
    <v>277</v>
    <v>278</v>
    <v>279</v>
    <v>284</v>
    <v>Georgia</v>
    <v>15</v>
    <v>285</v>
    <v>286</v>
    <v>287</v>
    <v>288</v>
    <v>289</v>
    <v>93</v>
    <v>290</v>
    <v>291</v>
    <v>292</v>
    <v>200</v>
    <v>293</v>
    <v>294</v>
    <v>136</v>
    <v>263</v>
    <v>30</v>
    <v>295</v>
    <v>296</v>
    <v>172</v>
    <v>297</v>
    <v>298</v>
    <v>Georgia</v>
    <v>299</v>
    <v>mdp/vdpid/12004</v>
    <v>210</v>
  </rv>
  <rv s="0">
    <v>536870912</v>
    <v>Idaho</v>
    <v>ecd30387-20fa-4523-9045-e2860154b5e9</v>
    <v>es-ES</v>
    <v>Map</v>
  </rv>
  <rv s="1">
    <fb>216699</fb>
    <v>12</v>
  </rv>
  <rv s="1">
    <fb>7.400000000000001E-2</fb>
    <v>13</v>
  </rv>
  <rv s="0">
    <v>536870912</v>
    <v>Boise</v>
    <v>1054a9b9-ef41-4b77-9953-f1ef16ec8015</v>
    <v>es-DO</v>
    <v>Map</v>
  </rv>
  <rv s="1">
    <fb>589320</fb>
    <v>12</v>
  </rv>
  <rv s="3">
    <v>9</v>
    <v>10</v>
    <v>50</v>
    <v>7</v>
    <v>0</v>
    <v>Image of Idaho</v>
  </rv>
  <rv s="1">
    <fb>47583</fb>
    <v>14</v>
  </rv>
  <rv s="4">
    <v>https://www.bing.com/search?q=Idaho&amp;form=skydnc</v>
    <v>Aprenda más con Bing</v>
  </rv>
  <rv s="0">
    <v>805306368</v>
    <v>Brad Little (Gobernador)</v>
    <v>135ff875-8d96-6f51-3eae-347573bc2b5e</v>
    <v>es-DO</v>
    <v>Generic</v>
  </rv>
  <rv s="0">
    <v>805306368</v>
    <v>Scott Bedke (Vicegobernador)</v>
    <v>be8f5adf-6e01-67c0-5d19-fa17c594a297</v>
    <v>es-DO</v>
    <v>Generic</v>
  </rv>
  <rv s="0">
    <v>805306368</v>
    <v>Mike Crapo (Senado)</v>
    <v>58e344ac-f5b6-a371-d18b-e84da803a187</v>
    <v>es-DO</v>
    <v>Generic</v>
  </rv>
  <rv s="0">
    <v>805306368</v>
    <v>Jim Risch (Senado)</v>
    <v>efe1fdc7-bf51-3e76-dee8-ac3de7719f34</v>
    <v>es-DO</v>
    <v>Generic</v>
  </rv>
  <rv s="2">
    <v>17</v>
  </rv>
  <rv s="1">
    <fb>12165</fb>
    <v>12</v>
  </rv>
  <rv s="1">
    <fb>2001619</fb>
    <v>12</v>
  </rv>
  <rv s="1">
    <fb>1.4999999999999999E-2</fb>
    <v>13</v>
  </rv>
  <rv s="1">
    <fb>0.93400000000000005</fb>
    <v>13</v>
  </rv>
  <rv s="1">
    <fb>2.3E-2</fb>
    <v>13</v>
  </rv>
  <rv s="1">
    <fb>0.626</fb>
    <v>13</v>
  </rv>
  <rv s="1">
    <fb>0.89500000000000002</fb>
    <v>13</v>
  </rv>
  <rv s="1">
    <fb>0.122</fb>
    <v>13</v>
  </rv>
  <rv s="1">
    <fb>0.25900000000000001</fb>
    <v>13</v>
  </rv>
  <rv s="1">
    <fb>0.26200000000000001</fb>
    <v>13</v>
  </rv>
  <rv s="1">
    <fb>8.0000000000000002E-3</fb>
    <v>13</v>
  </rv>
  <rv s="1">
    <fb>6.0999999999999999E-2</fb>
    <v>13</v>
  </rv>
  <rv s="1">
    <fb>743</fb>
    <v>14</v>
  </rv>
  <rv s="1">
    <fb>700825</fb>
    <v>12</v>
  </rv>
  <rv s="1">
    <fb>162900</fb>
    <v>14</v>
  </rv>
  <rv s="2">
    <v>18</v>
  </rv>
  <rv s="5">
    <v>#VALUE!</v>
    <v>es-ES</v>
    <v>ecd30387-20fa-4523-9045-e2860154b5e9</v>
    <v>536870912</v>
    <v>1</v>
    <v>53</v>
    <v>5</v>
    <v>6</v>
    <v>Idaho</v>
    <v>8</v>
    <v>9</v>
    <v>Map</v>
    <v>10</v>
    <v>11</v>
    <v>US-ID</v>
    <v>302</v>
    <v>303</v>
    <v>304</v>
    <v>304</v>
    <v>Idaho es uno de los cincuenta estados que, junto con Washington D. C., forman los Estados Unidos de América. Su capital y ciudad más poblada es Boise. Está ubicado en la región Oeste del país, división Montañas Rocosas. Limita al norte con ...</v>
    <v>305</v>
    <v>80</v>
    <v>306</v>
    <v>307</v>
    <v>308</v>
    <v>313</v>
    <v>Idaho</v>
    <v>15</v>
    <v>314</v>
    <v>53</v>
    <v>315</v>
    <v>316</v>
    <v>317</v>
    <v>318</v>
    <v>319</v>
    <v>320</v>
    <v>321</v>
    <v>131</v>
    <v>322</v>
    <v>125</v>
    <v>137</v>
    <v>323</v>
    <v>170</v>
    <v>324</v>
    <v>231</v>
    <v>325</v>
    <v>326</v>
    <v>327</v>
    <v>Idaho</v>
    <v>328</v>
    <v>mdp/vdpid/14713</v>
    <v>329</v>
  </rv>
  <rv s="0">
    <v>536870912</v>
    <v>Illinois</v>
    <v>4131acb8-628a-4241-8920-ca79eab9dade</v>
    <v>es-ES</v>
    <v>Map</v>
  </rv>
  <rv s="1">
    <fb>149998</fb>
    <v>12</v>
  </rv>
  <rv s="1">
    <fb>-2E-3</fb>
    <v>13</v>
  </rv>
  <rv s="0">
    <v>536870912</v>
    <v>Springfield</v>
    <v>dc562bf8-bf83-4505-8a1b-0bdb5bd605f8</v>
    <v>es-DO</v>
    <v>Map</v>
  </rv>
  <rv s="0">
    <v>536870912</v>
    <v>Chicago</v>
    <v>28deeb39-ca49-4bd4-913b-929b1de4b25b</v>
    <v>es-DO</v>
    <v>Map</v>
  </rv>
  <rv s="1">
    <fb>4786388</fb>
    <v>12</v>
  </rv>
  <rv s="3">
    <v>10</v>
    <v>10</v>
    <v>54</v>
    <v>7</v>
    <v>0</v>
    <v>Image of Illinois</v>
  </rv>
  <rv s="1">
    <fb>57574</fb>
    <v>14</v>
  </rv>
  <rv s="4">
    <v>https://www.bing.com/search?q=Illinois&amp;form=skydnc</v>
    <v>Aprenda más con Bing</v>
  </rv>
  <rv s="0">
    <v>805306368</v>
    <v>J. B. Pritzker (Gobernador)</v>
    <v>b759cb46-ad88-1a31-2b59-96119b3d5661</v>
    <v>es-DO</v>
    <v>Generic</v>
  </rv>
  <rv s="0">
    <v>805306368</v>
    <v>Juliana Stratton (Vicegobernador)</v>
    <v>b1e39d21-a189-eb04-4b28-4942fe9dcb39</v>
    <v>es-DO</v>
    <v>Generic</v>
  </rv>
  <rv s="0">
    <v>805306368</v>
    <v>Richard Durbin (Senado)</v>
    <v>39cda51e-89dc-c35b-7e31-76f82e75fe08</v>
    <v>es-DO</v>
    <v>Generic</v>
  </rv>
  <rv s="0">
    <v>805306368</v>
    <v>Tammy Duckworth (Senado)</v>
    <v>2df4f5f2-221e-6c63-c1d6-c100d6489731</v>
    <v>es-DO</v>
    <v>Generic</v>
  </rv>
  <rv s="2">
    <v>19</v>
  </rv>
  <rv s="1">
    <fb>22603</fb>
    <v>12</v>
  </rv>
  <rv s="1">
    <fb>12710158</fb>
    <v>12</v>
  </rv>
  <rv s="1">
    <fb>5.5E-2</fb>
    <v>13</v>
  </rv>
  <rv s="1">
    <fb>0.77300000000000002</fb>
    <v>13</v>
  </rv>
  <rv s="1">
    <fb>1.9E-2</fb>
    <v>13</v>
  </rv>
  <rv s="1">
    <fb>0.65599999999999992</fb>
    <v>13</v>
  </rv>
  <rv s="1">
    <fb>0.879</fb>
    <v>13</v>
  </rv>
  <rv s="1">
    <fb>0.16899999999999998</fb>
    <v>13</v>
  </rv>
  <rv s="1">
    <fb>6.0000000000000001E-3</fb>
    <v>16</v>
  </rv>
  <rv s="1">
    <fb>0.32299999999999995</fb>
    <v>13</v>
  </rv>
  <rv s="1">
    <fb>0.14199999999999999</fb>
    <v>13</v>
  </rv>
  <rv s="1">
    <fb>0.14000000000000001</fb>
    <v>13</v>
  </rv>
  <rv s="1">
    <fb>907</fb>
    <v>14</v>
  </rv>
  <rv s="1">
    <fb>5326970</fb>
    <v>12</v>
  </rv>
  <rv s="1">
    <fb>173800</fb>
    <v>14</v>
  </rv>
  <rv s="5">
    <v>#VALUE!</v>
    <v>es-ES</v>
    <v>4131acb8-628a-4241-8920-ca79eab9dade</v>
    <v>536870912</v>
    <v>1</v>
    <v>57</v>
    <v>5</v>
    <v>6</v>
    <v>Illinois</v>
    <v>8</v>
    <v>9</v>
    <v>Map</v>
    <v>10</v>
    <v>11</v>
    <v>US-IL</v>
    <v>332</v>
    <v>333</v>
    <v>334</v>
    <v>335</v>
    <v>Illinois es uno de los cincuenta estados que, junto con Washington D. C., forman los Estados Unidos. Su capital es Springfield y su ciudad más poblada, Chicago. Está ubicado en la región Medio Oeste del país, división Centro Noreste, limitando ...</v>
    <v>336</v>
    <v>6</v>
    <v>337</v>
    <v>338</v>
    <v>339</v>
    <v>344</v>
    <v>Illinois</v>
    <v>15</v>
    <v>345</v>
    <v>257</v>
    <v>346</v>
    <v>347</v>
    <v>348</v>
    <v>349</v>
    <v>350</v>
    <v>351</v>
    <v>352</v>
    <v>353</v>
    <v>354</v>
    <v>355</v>
    <v>325</v>
    <v>169</v>
    <v>30</v>
    <v>125</v>
    <v>205</v>
    <v>356</v>
    <v>357</v>
    <v>358</v>
    <v>Illinois</v>
    <v>359</v>
    <v>mdp/vdpid/14808</v>
    <v>37</v>
  </rv>
  <rv s="0">
    <v>536870912</v>
    <v>Indiana</v>
    <v>109f7e5a-efbb-4953-b4b8-cb812ce1ff5d</v>
    <v>es-ES</v>
    <v>Map</v>
  </rv>
  <rv s="1">
    <fb>94321</fb>
    <v>12</v>
  </rv>
  <rv s="0">
    <v>536870912</v>
    <v>Indianápolis</v>
    <v>28ad13c5-50fe-aae3-acb8-c5dea28be321</v>
    <v>es-DO</v>
    <v>Map</v>
  </rv>
  <rv s="1">
    <fb>2501937</fb>
    <v>12</v>
  </rv>
  <rv s="3">
    <v>11</v>
    <v>10</v>
    <v>58</v>
    <v>7</v>
    <v>0</v>
    <v>Image of Indiana</v>
  </rv>
  <rv s="1">
    <fb>49255</fb>
    <v>14</v>
  </rv>
  <rv s="4">
    <v>https://www.bing.com/search?q=Indiana&amp;form=skydnc</v>
    <v>Aprenda más con Bing</v>
  </rv>
  <rv s="0">
    <v>805306368</v>
    <v>Mike Braun (Gobernador)</v>
    <v>de1d9849-f100-7e2b-f9b6-052d6838f115</v>
    <v>es-DO</v>
    <v>Generic</v>
  </rv>
  <rv s="0">
    <v>805306368</v>
    <v>Micah Beckwith (Vicegobernador)</v>
    <v>18bc7343-e4d4-d24b-ad00-f21f062048d6</v>
    <v>es-DO</v>
    <v>Generic</v>
  </rv>
  <rv s="0">
    <v>805306368</v>
    <v>Todd Young (Senado)</v>
    <v>644a3110-22ae-349f-f81c-51fb401698e3</v>
    <v>es-DO</v>
    <v>Generic</v>
  </rv>
  <rv s="0">
    <v>805306368</v>
    <v>Jim Banks (Senado)</v>
    <v>c44f0d80-3165-3119-6782-4286d5dcfc9e</v>
    <v>es-DO</v>
    <v>Generic</v>
  </rv>
  <rv s="2">
    <v>20</v>
  </rv>
  <rv s="1">
    <fb>18713</fb>
    <v>12</v>
  </rv>
  <rv s="1">
    <fb>6924275</fb>
    <v>12</v>
  </rv>
  <rv s="1">
    <fb>2.1000000000000001E-2</fb>
    <v>13</v>
  </rv>
  <rv s="1">
    <fb>0.85799999999999998</fb>
    <v>13</v>
  </rv>
  <rv s="1">
    <fb>0.63900000000000001</fb>
    <v>13</v>
  </rv>
  <rv s="1">
    <fb>0.878</fb>
    <v>13</v>
  </rv>
  <rv s="1">
    <fb>6.7000000000000004E-2</fb>
    <v>13</v>
  </rv>
  <rv s="1">
    <fb>4.0000000000000001E-3</fb>
    <v>16</v>
  </rv>
  <rv s="1">
    <fb>0.24100000000000002</fb>
    <v>13</v>
  </rv>
  <rv s="1">
    <fb>0.14599999999999999</fb>
    <v>13</v>
  </rv>
  <rv s="1">
    <fb>0.23899999999999999</fb>
    <v>13</v>
  </rv>
  <rv s="1">
    <fb>9.6999999999999989E-2</fb>
    <v>13</v>
  </rv>
  <rv s="1">
    <fb>745</fb>
    <v>14</v>
  </rv>
  <rv s="1">
    <fb>2854546</fb>
    <v>12</v>
  </rv>
  <rv s="1">
    <fb>124200</fb>
    <v>14</v>
  </rv>
  <rv s="5">
    <v>#VALUE!</v>
    <v>es-ES</v>
    <v>109f7e5a-efbb-4953-b4b8-cb812ce1ff5d</v>
    <v>536870912</v>
    <v>1</v>
    <v>61</v>
    <v>5</v>
    <v>6</v>
    <v>Indiana</v>
    <v>8</v>
    <v>9</v>
    <v>Map</v>
    <v>10</v>
    <v>11</v>
    <v>US-IN</v>
    <v>362</v>
    <v>318</v>
    <v>363</v>
    <v>363</v>
    <v>Indiana es uno de los cincuenta estados que, junto con Washington D. C., forman los Estados Unidos. Su capital y ciudad más poblada es Indianápolis. Está ubicado en la región del Medio Oeste del país, división Centro Noreste, limitando al ...</v>
    <v>364</v>
    <v>80</v>
    <v>365</v>
    <v>366</v>
    <v>367</v>
    <v>372</v>
    <v>Indiana</v>
    <v>15</v>
    <v>373</v>
    <v>17</v>
    <v>374</v>
    <v>375</v>
    <v>376</v>
    <v>349</v>
    <v>377</v>
    <v>378</v>
    <v>379</v>
    <v>380</v>
    <v>381</v>
    <v>382</v>
    <v>64</v>
    <v>383</v>
    <v>30</v>
    <v>245</v>
    <v>384</v>
    <v>67</v>
    <v>385</v>
    <v>386</v>
    <v>Indiana</v>
    <v>387</v>
    <v>mdp/vdpid/14882</v>
    <v>210</v>
  </rv>
  <rv s="0">
    <v>536870912</v>
    <v>Iowa</v>
    <v>77850824-b07a-487a-af58-37f9949afc27</v>
    <v>es-ES</v>
    <v>Map</v>
  </rv>
  <rv s="1">
    <fb>145746</fb>
    <v>12</v>
  </rv>
  <rv s="0">
    <v>536870912</v>
    <v>Des Moines</v>
    <v>a4592975-b658-4874-8c06-906edcde2841</v>
    <v>es-DO</v>
    <v>Map</v>
  </rv>
  <rv s="1">
    <fb>1236409</fb>
    <v>12</v>
  </rv>
  <rv s="3">
    <v>12</v>
    <v>10</v>
    <v>62</v>
    <v>7</v>
    <v>0</v>
    <v>Image of Iowa</v>
  </rv>
  <rv s="1">
    <fb>53183</fb>
    <v>14</v>
  </rv>
  <rv s="4">
    <v>https://www.bing.com/search?q=Iowa&amp;form=skydnc</v>
    <v>Aprenda más con Bing</v>
  </rv>
  <rv s="0">
    <v>805306368</v>
    <v>Kim Reynolds (Gobernador)</v>
    <v>5a53cf17-9d69-0115-9fad-e65c96b79e58</v>
    <v>es-DO</v>
    <v>Generic</v>
  </rv>
  <rv s="0">
    <v>805306368</v>
    <v>Chris Cournoyer (Vicegobernador)</v>
    <v>d2566884-653d-afdb-e4d1-04b498ecb005</v>
    <v>es-DO</v>
    <v>Generic</v>
  </rv>
  <rv s="0">
    <v>805306368</v>
    <v>Chuck Grassley (Senado)</v>
    <v>f108a253-5d62-c018-e5c0-3962d9ca0a9b</v>
    <v>es-DO</v>
    <v>Generic</v>
  </rv>
  <rv s="0">
    <v>805306368</v>
    <v>Joni Ernst (Senado)</v>
    <v>6b45ca38-e2ee-e00e-7985-25132e676665</v>
    <v>es-DO</v>
    <v>Generic</v>
  </rv>
  <rv s="2">
    <v>21</v>
  </rv>
  <rv s="1">
    <fb>14317</fb>
    <v>12</v>
  </rv>
  <rv s="1">
    <fb>2.42</fb>
    <v>15</v>
  </rv>
  <rv s="1">
    <fb>3241488</fb>
    <v>12</v>
  </rv>
  <rv s="1">
    <fb>2.4E-2</fb>
    <v>13</v>
  </rv>
  <rv s="1">
    <fb>0.91799999999999993</fb>
    <v>13</v>
  </rv>
  <rv s="1">
    <fb>1.8000000000000002E-2</fb>
    <v>13</v>
  </rv>
  <rv s="1">
    <fb>0.91500000000000004</fb>
    <v>13</v>
  </rv>
  <rv s="1">
    <fb>5.7000000000000002E-2</fb>
    <v>13</v>
  </rv>
  <rv s="1">
    <fb>0.26700000000000002</fb>
    <v>13</v>
  </rv>
  <rv s="1">
    <fb>0.161</fb>
    <v>13</v>
  </rv>
  <rv s="1">
    <fb>7.9000000000000001E-2</fb>
    <v>13</v>
  </rv>
  <rv s="1">
    <fb>697</fb>
    <v>14</v>
  </rv>
  <rv s="1">
    <fb>1380162</fb>
    <v>12</v>
  </rv>
  <rv s="1">
    <fb>129200</fb>
    <v>14</v>
  </rv>
  <rv s="5">
    <v>#VALUE!</v>
    <v>es-ES</v>
    <v>77850824-b07a-487a-af58-37f9949afc27</v>
    <v>536870912</v>
    <v>1</v>
    <v>65</v>
    <v>5</v>
    <v>6</v>
    <v>Iowa</v>
    <v>8</v>
    <v>9</v>
    <v>Map</v>
    <v>10</v>
    <v>11</v>
    <v>US-IA</v>
    <v>390</v>
    <v>161</v>
    <v>391</v>
    <v>391</v>
    <v>Iowa es uno de los cincuenta estados que, junto con Washington D. C., forman los Estados Unidos de América. Su capital y ciudad más poblada es Des Moines. Está ubicado en la región Medio Oeste del país, división Centro Noroeste, limitando al ...</v>
    <v>392</v>
    <v>6</v>
    <v>393</v>
    <v>394</v>
    <v>395</v>
    <v>400</v>
    <v>Iowa</v>
    <v>15</v>
    <v>401</v>
    <v>402</v>
    <v>403</v>
    <v>404</v>
    <v>405</v>
    <v>406</v>
    <v>162</v>
    <v>407</v>
    <v>408</v>
    <v>200</v>
    <v>409</v>
    <v>410</v>
    <v>64</v>
    <v>134</v>
    <v>30</v>
    <v>33</v>
    <v>411</v>
    <v>103</v>
    <v>412</v>
    <v>413</v>
    <v>Iowa</v>
    <v>414</v>
    <v>mdp/vdpid/14987</v>
    <v>37</v>
  </rv>
  <rv s="0">
    <v>536870912</v>
    <v>Kansas</v>
    <v>6e527b71-bd3e-4bc1-b1c0-59d288b4fd5e</v>
    <v>es-ES</v>
    <v>Map</v>
  </rv>
  <rv s="1">
    <fb>213100</fb>
    <v>12</v>
  </rv>
  <rv s="0">
    <v>536870912</v>
    <v>Topeka</v>
    <v>98f8ec52-b318-4d58-b2b4-598ff64e4cfe</v>
    <v>es-DO</v>
    <v>Map</v>
  </rv>
  <rv s="0">
    <v>536870912</v>
    <v>Wichita</v>
    <v>bdf955f3-7da2-4896-9ea3-01394e083cf2</v>
    <v>es-DO</v>
    <v>Map</v>
  </rv>
  <rv s="1">
    <fb>1113472</fb>
    <v>12</v>
  </rv>
  <rv s="3">
    <v>13</v>
    <v>10</v>
    <v>66</v>
    <v>7</v>
    <v>0</v>
    <v>Image of Kansas</v>
  </rv>
  <rv s="1">
    <fb>52205</fb>
    <v>14</v>
  </rv>
  <rv s="4">
    <v>https://www.bing.com/search?q=Kansas&amp;form=skydnc</v>
    <v>Aprenda más con Bing</v>
  </rv>
  <rv s="0">
    <v>805306368</v>
    <v>Laura Kelly (Gobernador)</v>
    <v>d58f1816-72cc-3140-0980-ec882a090f87</v>
    <v>es-DO</v>
    <v>Generic</v>
  </rv>
  <rv s="0">
    <v>805306368</v>
    <v>David Toland (Vicegobernador)</v>
    <v>31381051-b507-1bd7-8dc4-e348a453b0a5</v>
    <v>es-DO</v>
    <v>Generic</v>
  </rv>
  <rv s="0">
    <v>805306368</v>
    <v>Jerry Moran (Senado)</v>
    <v>9d285cdd-bdbd-2e72-6f7f-0a7e11ac759a</v>
    <v>es-DO</v>
    <v>Generic</v>
  </rv>
  <rv s="0">
    <v>805306368</v>
    <v>Roger Marshall (Senado)</v>
    <v>006180cf-bff5-1953-56e7-81473af28a2d</v>
    <v>es-DO</v>
    <v>Generic</v>
  </rv>
  <rv s="2">
    <v>22</v>
  </rv>
  <rv s="1">
    <fb>9807</fb>
    <v>12</v>
  </rv>
  <rv s="1">
    <fb>2970606</fb>
    <v>12</v>
  </rv>
  <rv s="1">
    <fb>0.86699999999999999</fb>
    <v>13</v>
  </rv>
  <rv s="1">
    <fb>0.66299999999999992</fb>
    <v>13</v>
  </rv>
  <rv s="1">
    <fb>0.90200000000000002</fb>
    <v>13</v>
  </rv>
  <rv s="1">
    <fb>1.2E-2</fb>
    <v>16</v>
  </rv>
  <rv s="1">
    <fb>0.31</fb>
    <v>13</v>
  </rv>
  <rv s="1">
    <fb>0.247</fb>
    <v>13</v>
  </rv>
  <rv s="1">
    <fb>8.5999999999999993E-2</fb>
    <v>13</v>
  </rv>
  <rv s="1">
    <fb>6.9000000000000006E-2</fb>
    <v>13</v>
  </rv>
  <rv s="1">
    <fb>757</fb>
    <v>14</v>
  </rv>
  <rv s="1">
    <fb>1259864</fb>
    <v>12</v>
  </rv>
  <rv s="1">
    <fb>132000</fb>
    <v>14</v>
  </rv>
  <rv s="5">
    <v>#VALUE!</v>
    <v>es-ES</v>
    <v>6e527b71-bd3e-4bc1-b1c0-59d288b4fd5e</v>
    <v>536870912</v>
    <v>1</v>
    <v>69</v>
    <v>5</v>
    <v>6</v>
    <v>Kansas</v>
    <v>8</v>
    <v>9</v>
    <v>Map</v>
    <v>10</v>
    <v>11</v>
    <v>US-KS</v>
    <v>417</v>
    <v>349</v>
    <v>418</v>
    <v>419</v>
    <v>Kansas es uno de los cincuenta estados que, junto con Washington D. C., forman los Estados Unidos de América. Su capital es Topeka y su ciudad más poblada, Wichita. Está ubicado en la región Medio Oeste del país, división Centro Noroeste, ...</v>
    <v>420</v>
    <v>6</v>
    <v>421</v>
    <v>422</v>
    <v>423</v>
    <v>428</v>
    <v>Kansas</v>
    <v>15</v>
    <v>429</v>
    <v>90</v>
    <v>430</v>
    <v>161</v>
    <v>431</v>
    <v>161</v>
    <v>432</v>
    <v>433</v>
    <v>204</v>
    <v>434</v>
    <v>435</v>
    <v>382</v>
    <v>137</v>
    <v>436</v>
    <v>30</v>
    <v>64</v>
    <v>437</v>
    <v>438</v>
    <v>439</v>
    <v>440</v>
    <v>Kansas</v>
    <v>441</v>
    <v>mdp/vdpid/16121</v>
    <v>37</v>
  </rv>
  <rv s="0">
    <v>536870912</v>
    <v>Kentucky</v>
    <v>108dfd18-4626-481a-8dfa-18f64e6eac84</v>
    <v>es-ES</v>
    <v>Map</v>
  </rv>
  <rv s="1">
    <fb>104659</fb>
    <v>12</v>
  </rv>
  <rv s="0">
    <v>536870912</v>
    <v>Frankfort</v>
    <v>77808127-2585-ed16-992f-4dbf7cb32377</v>
    <v>es-DO</v>
    <v>Map</v>
  </rv>
  <rv s="0">
    <v>536870912</v>
    <v>Louisville</v>
    <v>1bc669d8-9310-926f-25b9-880f75cd4247</v>
    <v>es-DO</v>
    <v>Map</v>
  </rv>
  <rv s="1">
    <fb>1708499</fb>
    <v>12</v>
  </rv>
  <rv s="3">
    <v>14</v>
    <v>10</v>
    <v>70</v>
    <v>7</v>
    <v>0</v>
    <v>Image of Kentucky</v>
  </rv>
  <rv s="1">
    <fb>43740</fb>
    <v>14</v>
  </rv>
  <rv s="4">
    <v>https://www.bing.com/search?q=Kentucky&amp;form=skydnc</v>
    <v>Aprenda más con Bing</v>
  </rv>
  <rv s="0">
    <v>805306368</v>
    <v>Andy Beshear (Gobernador)</v>
    <v>b3d019c3-d02d-e300-b685-dad592322a24</v>
    <v>es-DO</v>
    <v>Generic</v>
  </rv>
  <rv s="0">
    <v>805306368</v>
    <v>Jacqueline Coleman (Vicegobernador)</v>
    <v>e703cb28-e073-92db-a598-7a547e2418d3</v>
    <v>es-DO</v>
    <v>Generic</v>
  </rv>
  <rv s="0">
    <v>805306368</v>
    <v>Mitch McConnell (Senado)</v>
    <v>d7ef5149-eb90-bb30-5f10-3aa4c1193a2c</v>
    <v>es-DO</v>
    <v>Generic</v>
  </rv>
  <rv s="0">
    <v>805306368</v>
    <v>Rand Paul (Senado)</v>
    <v>96f17cfa-d01d-e202-733b-d1f8ab63a1b9</v>
    <v>es-DO</v>
    <v>Generic</v>
  </rv>
  <rv s="2">
    <v>23</v>
  </rv>
  <rv s="1">
    <fb>12714</fb>
    <v>12</v>
  </rv>
  <rv s="1">
    <fb>2.5</fb>
    <v>15</v>
  </rv>
  <rv s="1">
    <fb>4588372</fb>
    <v>12</v>
  </rv>
  <rv s="1">
    <fb>0.88099999999999989</fb>
    <v>13</v>
  </rv>
  <rv s="1">
    <fb>0.59099999999999997</fb>
    <v>13</v>
  </rv>
  <rv s="1">
    <fb>0.84200000000000008</fb>
    <v>13</v>
  </rv>
  <rv s="1">
    <fb>3.0000000000000001E-3</fb>
    <v>16</v>
  </rv>
  <rv s="1">
    <fb>0.223</fb>
    <v>13</v>
  </rv>
  <rv s="1">
    <fb>0.152</fb>
    <v>13</v>
  </rv>
  <rv s="1">
    <fb>0.22899999999999998</fb>
    <v>13</v>
  </rv>
  <rv s="1">
    <fb>8.3000000000000004E-2</fb>
    <v>13</v>
  </rv>
  <rv s="1">
    <fb>0.129</fb>
    <v>13</v>
  </rv>
  <rv s="1">
    <fb>675</fb>
    <v>14</v>
  </rv>
  <rv s="1">
    <fb>1965556</fb>
    <v>12</v>
  </rv>
  <rv s="1">
    <fb>123200</fb>
    <v>14</v>
  </rv>
  <rv s="5">
    <v>#VALUE!</v>
    <v>es-ES</v>
    <v>108dfd18-4626-481a-8dfa-18f64e6eac84</v>
    <v>536870912</v>
    <v>1</v>
    <v>73</v>
    <v>5</v>
    <v>6</v>
    <v>Kentucky</v>
    <v>8</v>
    <v>9</v>
    <v>Map</v>
    <v>10</v>
    <v>11</v>
    <v>US-KY</v>
    <v>444</v>
    <v>196</v>
    <v>445</v>
    <v>446</v>
    <v>Kentucky, oficialmente Mancomunidad de Kentucky, es uno de los cincuenta estados que, junto con Washington D. C., forman los Estados Unidos. Su capital es Frankfort y su ciudad más poblada, Louisville.</v>
    <v>447</v>
    <v>6</v>
    <v>448</v>
    <v>449</v>
    <v>450</v>
    <v>455</v>
    <v>Kentucky</v>
    <v>15</v>
    <v>456</v>
    <v>457</v>
    <v>458</v>
    <v>19</v>
    <v>459</v>
    <v>406</v>
    <v>460</v>
    <v>461</v>
    <v>55</v>
    <v>462</v>
    <v>463</v>
    <v>464</v>
    <v>64</v>
    <v>465</v>
    <v>30</v>
    <v>466</v>
    <v>467</v>
    <v>55</v>
    <v>468</v>
    <v>469</v>
    <v>Kentucky</v>
    <v>470</v>
    <v>mdp/vdpid/16480</v>
    <v>210</v>
  </rv>
  <rv s="0">
    <v>536870912</v>
    <v>Luisiana</v>
    <v>0ca1e87f-e2f6-43fb-8deb-d22bd09a9cae</v>
    <v>es-ES</v>
    <v>Map</v>
  </rv>
  <rv s="1">
    <fb>135382</fb>
    <v>12</v>
  </rv>
  <rv s="1">
    <fb>3.3000000000000002E-2</fb>
    <v>13</v>
  </rv>
  <rv s="0">
    <v>536870912</v>
    <v>Baton Rouge</v>
    <v>dc17dbc5-08e4-4782-8f58-e5ce764122b6</v>
    <v>es-DO</v>
    <v>Map</v>
  </rv>
  <rv s="0">
    <v>536870912</v>
    <v>Nueva Orleans</v>
    <v>465e78cf-aa9a-491f-9167-4520c7110824</v>
    <v>es-DO</v>
    <v>Map</v>
  </rv>
  <rv s="1">
    <fb>1727919</fb>
    <v>12</v>
  </rv>
  <rv s="2">
    <v>24</v>
  </rv>
  <rv s="3">
    <v>15</v>
    <v>10</v>
    <v>74</v>
    <v>7</v>
    <v>0</v>
    <v>Image of Luisiana</v>
  </rv>
  <rv s="1">
    <fb>45047</fb>
    <v>14</v>
  </rv>
  <rv s="4">
    <v>https://www.bing.com/search?q=Luisiana&amp;form=skydnc</v>
    <v>Aprenda más con Bing</v>
  </rv>
  <rv s="0">
    <v>805306368</v>
    <v>Jeff Landry (Gobernador)</v>
    <v>d492bfcb-cae8-2b79-02a0-bd16694ca8f1</v>
    <v>es-DO</v>
    <v>Generic</v>
  </rv>
  <rv s="0">
    <v>805306368</v>
    <v>Billy Nungesser (Vicegobernador)</v>
    <v>edba98a9-8f96-5d5f-2a33-d387284d930d</v>
    <v>es-DO</v>
    <v>Generic</v>
  </rv>
  <rv s="0">
    <v>805306368</v>
    <v>Bill Cassidy (Senado)</v>
    <v>23d46db6-3b3f-47f4-80e7-ed2027ac6347</v>
    <v>es-DO</v>
    <v>Generic</v>
  </rv>
  <rv s="0">
    <v>805306368</v>
    <v>John N. Kennedy (Senado)</v>
    <v>e3825889-48aa-6c64-9811-067af6c09e88</v>
    <v>es-DO</v>
    <v>Generic</v>
  </rv>
  <rv s="2">
    <v>25</v>
  </rv>
  <rv s="1">
    <fb>14503</fb>
    <v>12</v>
  </rv>
  <rv s="1">
    <fb>2.6</fb>
    <v>15</v>
  </rv>
  <rv s="1">
    <fb>4597740</fb>
    <v>12</v>
  </rv>
  <rv s="1">
    <fb>0.63200000000000001</fb>
    <v>13</v>
  </rv>
  <rv s="1">
    <fb>0.60399999999999998</fb>
    <v>13</v>
  </rv>
  <rv s="1">
    <fb>0.83400000000000007</fb>
    <v>13</v>
  </rv>
  <rv s="1">
    <fb>0.05</fb>
    <v>13</v>
  </rv>
  <rv s="1">
    <fb>8.0000000000000002E-3</fb>
    <v>16</v>
  </rv>
  <rv s="1">
    <fb>0.22500000000000001</fb>
    <v>13</v>
  </rv>
  <rv s="1">
    <fb>0.32500000000000001</fb>
    <v>13</v>
  </rv>
  <rv s="1">
    <fb>0.11</fb>
    <v>13</v>
  </rv>
  <rv s="1">
    <fb>788</fb>
    <v>14</v>
  </rv>
  <rv s="1">
    <fb>2036975</fb>
    <v>12</v>
  </rv>
  <rv s="1">
    <fb>144100</fb>
    <v>14</v>
  </rv>
  <rv s="5">
    <v>#VALUE!</v>
    <v>es-ES</v>
    <v>0ca1e87f-e2f6-43fb-8deb-d22bd09a9cae</v>
    <v>536870912</v>
    <v>1</v>
    <v>77</v>
    <v>5</v>
    <v>6</v>
    <v>Luisiana</v>
    <v>8</v>
    <v>9</v>
    <v>Map</v>
    <v>10</v>
    <v>11</v>
    <v>US-LA</v>
    <v>473</v>
    <v>474</v>
    <v>475</v>
    <v>476</v>
    <v>Luisiana es uno de los cincuenta estados que, junto con Washington D. C., forman los Estados Unidos de América. Su capital es Baton Rouge y su ciudad más poblada, Nueva Orleans. Está ubicado en la región Sur del país, división Centro Suroeste. ...</v>
    <v>477</v>
    <v>478</v>
    <v>479</v>
    <v>480</v>
    <v>481</v>
    <v>486</v>
    <v>Luisiana</v>
    <v>15</v>
    <v>487</v>
    <v>488</v>
    <v>489</v>
    <v>406</v>
    <v>490</v>
    <v>21</v>
    <v>491</v>
    <v>492</v>
    <v>493</v>
    <v>494</v>
    <v>495</v>
    <v>356</v>
    <v>379</v>
    <v>383</v>
    <v>30</v>
    <v>496</v>
    <v>497</v>
    <v>288</v>
    <v>498</v>
    <v>499</v>
    <v>Luisiana</v>
    <v>500</v>
    <v>mdp/vdpid/19283</v>
    <v>37</v>
  </rv>
  <rv s="0">
    <v>536870912</v>
    <v>Maine</v>
    <v>d62dd683-9cf9-4db9-a497-d810d529592b</v>
    <v>es-ES</v>
    <v>Map</v>
  </rv>
  <rv s="1">
    <fb>91646</fb>
    <v>12</v>
  </rv>
  <rv s="0">
    <v>536870912</v>
    <v>Augusta</v>
    <v>a6f13dc8-92ac-2fb1-cb14-adfd42dc32be</v>
    <v>es-DO</v>
    <v>Map</v>
  </rv>
  <rv s="0">
    <v>536870912</v>
    <v>Portland</v>
    <v>faa79e83-dad6-af0a-6f59-a774a9a659a6</v>
    <v>es-DO</v>
    <v>Map</v>
  </rv>
  <rv s="1">
    <fb>553284</fb>
    <v>12</v>
  </rv>
  <rv s="3">
    <v>16</v>
    <v>10</v>
    <v>78</v>
    <v>7</v>
    <v>0</v>
    <v>Image of Maine</v>
  </rv>
  <rv s="1">
    <fb>49331</fb>
    <v>14</v>
  </rv>
  <rv s="4">
    <v>https://www.bing.com/search?q=Maine&amp;form=skydnc</v>
    <v>Aprenda más con Bing</v>
  </rv>
  <rv s="0">
    <v>805306368</v>
    <v>Janet Mills (Gobernador)</v>
    <v>a46a0212-e842-c48d-8bde-90ee5acba105</v>
    <v>es-DO</v>
    <v>Generic</v>
  </rv>
  <rv s="0">
    <v>805306368</v>
    <v>Susan Collins (Senado)</v>
    <v>aaad9d58-ed73-4938-bfdc-c03cdc232d44</v>
    <v>es-DO</v>
    <v>Generic</v>
  </rv>
  <rv s="0">
    <v>805306368</v>
    <v>Angus King (Senado)</v>
    <v>ae56a193-d51f-9bf9-61be-255f3573d439</v>
    <v>es-DO</v>
    <v>Generic</v>
  </rv>
  <rv s="2">
    <v>26</v>
  </rv>
  <rv s="1">
    <fb>4010</fb>
    <v>12</v>
  </rv>
  <rv s="1">
    <fb>2.34</fb>
    <v>15</v>
  </rv>
  <rv s="1">
    <fb>1405012</fb>
    <v>12</v>
  </rv>
  <rv s="1">
    <fb>1.2E-2</fb>
    <v>13</v>
  </rv>
  <rv s="1">
    <fb>0.94900000000000007</fb>
    <v>13</v>
  </rv>
  <rv s="1">
    <fb>0.63400000000000001</fb>
    <v>13</v>
  </rv>
  <rv s="1">
    <fb>0.91599999999999993</fb>
    <v>13</v>
  </rv>
  <rv s="1">
    <fb>0.28999999999999998</fb>
    <v>13</v>
  </rv>
  <rv s="1">
    <fb>0.188</fb>
    <v>13</v>
  </rv>
  <rv s="1">
    <fb>4.9000000000000002E-2</fb>
    <v>13</v>
  </rv>
  <rv s="1">
    <fb>0.193</fb>
    <v>13</v>
  </rv>
  <rv s="1">
    <fb>0.11900000000000001</fb>
    <v>13</v>
  </rv>
  <rv s="1">
    <fb>777</fb>
    <v>14</v>
  </rv>
  <rv s="1">
    <fb>730705</fb>
    <v>12</v>
  </rv>
  <rv s="7">
    <v>#VALUE!</v>
    <v>es-ES</v>
    <v>d62dd683-9cf9-4db9-a497-d810d529592b</v>
    <v>536870912</v>
    <v>1</v>
    <v>81</v>
    <v>82</v>
    <v>83</v>
    <v>Maine</v>
    <v>8</v>
    <v>9</v>
    <v>Map</v>
    <v>10</v>
    <v>84</v>
    <v>US-ME</v>
    <v>503</v>
    <v>170</v>
    <v>504</v>
    <v>505</v>
    <v>Maine es uno de los cincuenta estados que forman los Estados Unidos. Su capital es Augusta y su ciudad más poblada, Portland. Está ubicado en la región Noreste del país, división Nueva Inglaterra, limitando al noroeste, norte y este con Canadá, ...</v>
    <v>506</v>
    <v>507</v>
    <v>508</v>
    <v>509</v>
    <v>513</v>
    <v>Maine</v>
    <v>15</v>
    <v>514</v>
    <v>515</v>
    <v>516</v>
    <v>517</v>
    <v>518</v>
    <v>2</v>
    <v>519</v>
    <v>520</v>
    <v>21</v>
    <v>25</v>
    <v>521</v>
    <v>522</v>
    <v>523</v>
    <v>524</v>
    <v>19</v>
    <v>525</v>
    <v>33</v>
    <v>526</v>
    <v>527</v>
    <v>Maine</v>
    <v>359</v>
    <v>mdp/vdpid/19840</v>
    <v>210</v>
  </rv>
  <rv s="0">
    <v>536870912</v>
    <v>Maryland</v>
    <v>4c472f4d-06a8-4d90-8bb8-da4d168c73fe</v>
    <v>es-ES</v>
    <v>Map</v>
  </rv>
  <rv s="1">
    <fb>32131</fb>
    <v>12</v>
  </rv>
  <rv s="0">
    <v>536870912</v>
    <v>Annapolis</v>
    <v>5c1c2452-fad3-09a7-1bd5-bafdf1acf665</v>
    <v>es-DO</v>
    <v>Map</v>
  </rv>
  <rv s="0">
    <v>536870912</v>
    <v>Baltimore</v>
    <v>ee720710-86f4-43c1-914a-9e12af6cb368</v>
    <v>es-DO</v>
    <v>Map</v>
  </rv>
  <rv s="1">
    <fb>2166389</fb>
    <v>12</v>
  </rv>
  <rv s="3">
    <v>17</v>
    <v>10</v>
    <v>85</v>
    <v>7</v>
    <v>0</v>
    <v>Image of Maryland</v>
  </rv>
  <rv s="1">
    <fb>74551</fb>
    <v>14</v>
  </rv>
  <rv s="4">
    <v>https://www.bing.com/search?q=Maryland&amp;form=skydnc</v>
    <v>Aprenda más con Bing</v>
  </rv>
  <rv s="0">
    <v>805306368</v>
    <v>Wes Moore (Gobernador)</v>
    <v>061797ca-ac16-c2b9-5af5-fc8b9f70c021</v>
    <v>es-DO</v>
    <v>Generic</v>
  </rv>
  <rv s="0">
    <v>805306368</v>
    <v>Aruna Miller (Vicegobernador)</v>
    <v>4a11c83c-3bfa-1c3b-dcfb-99dd4e08405b</v>
    <v>es-DO</v>
    <v>Generic</v>
  </rv>
  <rv s="0">
    <v>805306368</v>
    <v>Chris Van Hollen (Senado)</v>
    <v>6a847e3b-fae5-cf26-44fb-8c8c4cd3cfb6</v>
    <v>es-DO</v>
    <v>Generic</v>
  </rv>
  <rv s="0">
    <v>805306368</v>
    <v>Angela Alsobrooks (Senado)</v>
    <v>6ab8fe80-cdc2-cc10-1bb8-27cea416baf6</v>
    <v>es-DO</v>
    <v>Generic</v>
  </rv>
  <rv s="2">
    <v>27</v>
  </rv>
  <rv s="1">
    <fb>17044</fb>
    <v>12</v>
  </rv>
  <rv s="1">
    <fb>2.67</fb>
    <v>15</v>
  </rv>
  <rv s="1">
    <fb>6263220</fb>
    <v>12</v>
  </rv>
  <rv s="1">
    <fb>0.59599999999999997</fb>
    <v>13</v>
  </rv>
  <rv s="1">
    <fb>0.67900000000000005</fb>
    <v>13</v>
  </rv>
  <rv s="1">
    <fb>0.89400000000000002</fb>
    <v>13</v>
  </rv>
  <rv s="1">
    <fb>9.5000000000000001E-2</fb>
    <v>13</v>
  </rv>
  <rv s="1">
    <fb>0.379</fb>
    <v>13</v>
  </rv>
  <rv s="1">
    <fb>0.14099999999999999</fb>
    <v>13</v>
  </rv>
  <rv s="1">
    <fb>0.30499999999999999</fb>
    <v>13</v>
  </rv>
  <rv s="1">
    <fb>0.14499999999999999</fb>
    <v>13</v>
  </rv>
  <rv s="1">
    <fb>1230</fb>
    <v>14</v>
  </rv>
  <rv s="1">
    <fb>2447127</fb>
    <v>12</v>
  </rv>
  <rv s="1">
    <fb>286900</fb>
    <v>14</v>
  </rv>
  <rv s="6">
    <v>#VALUE!</v>
    <v>es-ES</v>
    <v>4c472f4d-06a8-4d90-8bb8-da4d168c73fe</v>
    <v>536870912</v>
    <v>1</v>
    <v>88</v>
    <v>5</v>
    <v>37</v>
    <v>Maryland</v>
    <v>8</v>
    <v>9</v>
    <v>Map</v>
    <v>10</v>
    <v>11</v>
    <v>US-MD</v>
    <v>530</v>
    <v>24</v>
    <v>531</v>
    <v>532</v>
    <v>Maryland es uno de los cincuenta estados que, juntamente a Washington D. C., forman los Estados Unidos de América. Su capital es Annapolis y su ciudad más poblada, Baltimore. Está en la región del Atlántico Medio de Estados Unidos. Limita al ...</v>
    <v>533</v>
    <v>534</v>
    <v>535</v>
    <v>536</v>
    <v>541</v>
    <v>Maryland</v>
    <v>15</v>
    <v>542</v>
    <v>543</v>
    <v>544</v>
    <v>136</v>
    <v>545</v>
    <v>57</v>
    <v>546</v>
    <v>547</v>
    <v>548</v>
    <v>353</v>
    <v>549</v>
    <v>550</v>
    <v>325</v>
    <v>236</v>
    <v>30</v>
    <v>551</v>
    <v>205</v>
    <v>552</v>
    <v>553</v>
    <v>554</v>
    <v>Maryland</v>
    <v>555</v>
    <v>mdp/vdpid/20487</v>
    <v>210</v>
  </rv>
  <rv s="0">
    <v>536870912</v>
    <v>Massachusetts</v>
    <v>845219d5-3650-4199-b926-964ca27c863c</v>
    <v>es-ES</v>
    <v>Map</v>
  </rv>
  <rv s="1">
    <fb>27336</fb>
    <v>12</v>
  </rv>
  <rv s="0">
    <v>536870912</v>
    <v>Boston</v>
    <v>f0f5899a-361f-4fe4-89d1-11130aa2c653</v>
    <v>es-DO</v>
    <v>Map</v>
  </rv>
  <rv s="1">
    <fb>2549721</fb>
    <v>12</v>
  </rv>
  <rv s="3">
    <v>18</v>
    <v>10</v>
    <v>89</v>
    <v>7</v>
    <v>0</v>
    <v>Image of Massachusetts</v>
  </rv>
  <rv s="1">
    <fb>68563</fb>
    <v>14</v>
  </rv>
  <rv s="4">
    <v>https://www.bing.com/search?q=Massachusetts&amp;form=skydnc</v>
    <v>Aprenda más con Bing</v>
  </rv>
  <rv s="0">
    <v>805306368</v>
    <v>Maura Healey (Gobernador)</v>
    <v>16f75b4a-61cd-c874-f8be-b832c93cc2f9</v>
    <v>es-DO</v>
    <v>Generic</v>
  </rv>
  <rv s="0">
    <v>805306368</v>
    <v>Kim Driscoll (Vicegobernador)</v>
    <v>49e728c3-181d-48d9-8e7d-8c9fef062e0e</v>
    <v>es-DO</v>
    <v>Generic</v>
  </rv>
  <rv s="0">
    <v>805306368</v>
    <v>Elizabeth Warren (Senado)</v>
    <v>8c35b43e-b645-d791-7a5c-305ebcc23f83</v>
    <v>es-DO</v>
    <v>Generic</v>
  </rv>
  <rv s="0">
    <v>805306368</v>
    <v>Ed Markey (Senado)</v>
    <v>a9ec6fce-5147-02f1-0a7e-53c0f484c57c</v>
    <v>es-DO</v>
    <v>Generic</v>
  </rv>
  <rv s="2">
    <v>28</v>
  </rv>
  <rv s="1">
    <fb>16288</fb>
    <v>12</v>
  </rv>
  <rv s="1">
    <fb>7136171</fb>
    <v>12</v>
  </rv>
  <rv s="1">
    <fb>6.6000000000000003E-2</fb>
    <v>13</v>
  </rv>
  <rv s="1">
    <fb>0.82099999999999995</fb>
    <v>13</v>
  </rv>
  <rv s="1">
    <fb>0.67500000000000004</fb>
    <v>13</v>
  </rv>
  <rv s="1">
    <fb>0.89800000000000002</fb>
    <v>13</v>
  </rv>
  <rv s="1">
    <fb>0.11199999999999999</fb>
    <v>13</v>
  </rv>
  <rv s="1">
    <fb>0.40500000000000003</fb>
    <v>13</v>
  </rv>
  <rv s="1">
    <fb>0.20399999999999999</fb>
    <v>13</v>
  </rv>
  <rv s="1">
    <fb>0.155</fb>
    <v>13</v>
  </rv>
  <rv s="1">
    <fb>1102</fb>
    <v>14</v>
  </rv>
  <rv s="1">
    <fb>2858026</fb>
    <v>12</v>
  </rv>
  <rv s="1">
    <fb>333100</fb>
    <v>14</v>
  </rv>
  <rv s="5">
    <v>#VALUE!</v>
    <v>es-ES</v>
    <v>845219d5-3650-4199-b926-964ca27c863c</v>
    <v>536870912</v>
    <v>1</v>
    <v>92</v>
    <v>5</v>
    <v>6</v>
    <v>Massachusetts</v>
    <v>8</v>
    <v>9</v>
    <v>Map</v>
    <v>10</v>
    <v>11</v>
    <v>US-MA</v>
    <v>558</v>
    <v>288</v>
    <v>559</v>
    <v>559</v>
    <v>Massachusetts o Masachusets, oficialmente Mancomunidad de Massachusetts, es uno de los cincuenta estados que, junto con Washington D. C., forman los Estados Unidos de América. Su capital y ciudad más poblada es Boston.</v>
    <v>560</v>
    <v>80</v>
    <v>561</v>
    <v>562</v>
    <v>563</v>
    <v>568</v>
    <v>Massachusetts</v>
    <v>15</v>
    <v>569</v>
    <v>90</v>
    <v>570</v>
    <v>571</v>
    <v>572</v>
    <v>318</v>
    <v>573</v>
    <v>574</v>
    <v>575</v>
    <v>200</v>
    <v>576</v>
    <v>199</v>
    <v>110</v>
    <v>577</v>
    <v>30</v>
    <v>41</v>
    <v>411</v>
    <v>578</v>
    <v>579</v>
    <v>580</v>
    <v>Massachusetts</v>
    <v>581</v>
    <v>mdp/vdpid/20543</v>
    <v>210</v>
  </rv>
  <rv s="0">
    <v>536870912</v>
    <v>Míchigan</v>
    <v>162411c2-b757-495d-aa81-93942fae2f7e</v>
    <v>es-ES</v>
    <v>Map</v>
  </rv>
  <rv s="1">
    <fb>250493</fb>
    <v>12</v>
  </rv>
  <rv s="1">
    <fb>4.0000000000000001E-3</fb>
    <v>13</v>
  </rv>
  <rv s="0">
    <v>536870912</v>
    <v>Lansing</v>
    <v>f72f32c4-1da0-4657-9366-ff9fa67191cd</v>
    <v>es-DO</v>
    <v>Map</v>
  </rv>
  <rv s="0">
    <v>536870912</v>
    <v>Detroit</v>
    <v>85910f05-3dc5-436a-85db-fe5802c27206</v>
    <v>es-DO</v>
    <v>Map</v>
  </rv>
  <rv s="1">
    <fb>3841148</fb>
    <v>12</v>
  </rv>
  <rv s="3">
    <v>19</v>
    <v>10</v>
    <v>93</v>
    <v>7</v>
    <v>0</v>
    <v>Image of Míchigan</v>
  </rv>
  <rv s="1">
    <fb>49576</fb>
    <v>14</v>
  </rv>
  <rv s="4">
    <v>https://www.bing.com/search?q=M%c3%adchigan&amp;form=skydnc</v>
    <v>Aprenda más con Bing</v>
  </rv>
  <rv s="0">
    <v>805306368</v>
    <v>Gretchen Whitmer (Gobernador)</v>
    <v>f6d1e9db-75f6-c594-7272-dd636d3f4ad3</v>
    <v>es-DO</v>
    <v>Generic</v>
  </rv>
  <rv s="0">
    <v>805306368</v>
    <v>Garlin Gilchrist (Vicegobernador)</v>
    <v>d8f5ba75-ec82-cc25-7294-3463565f1b51</v>
    <v>es-DO</v>
    <v>Generic</v>
  </rv>
  <rv s="0">
    <v>805306368</v>
    <v>Gary Peters (Senado)</v>
    <v>1c5d76fc-da74-8c31-948e-7a8f6da3076a</v>
    <v>es-DO</v>
    <v>Generic</v>
  </rv>
  <rv s="0">
    <v>805306368</v>
    <v>Elissa Slotkin (Senado)</v>
    <v>56f25db1-c482-d5c7-4b24-facdadf2d0e2</v>
    <v>es-DO</v>
    <v>Generic</v>
  </rv>
  <rv s="2">
    <v>29</v>
  </rv>
  <rv s="1">
    <fb>20408</fb>
    <v>12</v>
  </rv>
  <rv s="1">
    <fb>2.52</fb>
    <v>15</v>
  </rv>
  <rv s="1">
    <fb>10140459</fb>
    <v>12</v>
  </rv>
  <rv s="1">
    <fb>0.03</fb>
    <v>13</v>
  </rv>
  <rv s="1">
    <fb>0.79700000000000004</fb>
    <v>13</v>
  </rv>
  <rv s="1">
    <fb>0.61199999999999999</fb>
    <v>13</v>
  </rv>
  <rv s="1">
    <fb>0.89599999999999991</fb>
    <v>13</v>
  </rv>
  <rv s="1">
    <fb>0.26899999999999996</fb>
    <v>13</v>
  </rv>
  <rv s="1">
    <fb>5.7999999999999996E-2</fb>
    <v>13</v>
  </rv>
  <rv s="1">
    <fb>0.222</fb>
    <v>13</v>
  </rv>
  <rv s="1">
    <fb>0.10300000000000001</fb>
    <v>13</v>
  </rv>
  <rv s="1">
    <fb>783</fb>
    <v>14</v>
  </rv>
  <rv s="1">
    <fb>4560055</fb>
    <v>12</v>
  </rv>
  <rv s="1">
    <fb>122400</fb>
    <v>14</v>
  </rv>
  <rv s="7">
    <v>#VALUE!</v>
    <v>es-ES</v>
    <v>162411c2-b757-495d-aa81-93942fae2f7e</v>
    <v>536870912</v>
    <v>1</v>
    <v>96</v>
    <v>82</v>
    <v>83</v>
    <v>Míchigan</v>
    <v>8</v>
    <v>9</v>
    <v>Map</v>
    <v>10</v>
    <v>84</v>
    <v>US-MI</v>
    <v>584</v>
    <v>585</v>
    <v>586</v>
    <v>587</v>
    <v>Míchigan es uno de los cincuenta estados que, junto con Washington D. C., forma los Estados Unidos de América. Su capital es Lansing y su ciudad más poblada, Detroit. Ubicado en la región Medio Oeste del país, división Centro Noreste, consta de ...</v>
    <v>588</v>
    <v>589</v>
    <v>590</v>
    <v>591</v>
    <v>596</v>
    <v>Míchigan</v>
    <v>15</v>
    <v>597</v>
    <v>598</v>
    <v>599</v>
    <v>600</v>
    <v>601</v>
    <v>318</v>
    <v>602</v>
    <v>603</v>
    <v>523</v>
    <v>25</v>
    <v>604</v>
    <v>202</v>
    <v>605</v>
    <v>606</v>
    <v>355</v>
    <v>607</v>
    <v>64</v>
    <v>608</v>
    <v>609</v>
    <v>Míchigan</v>
    <v>610</v>
    <v>mdp/vdpid/21196</v>
    <v>271</v>
  </rv>
  <rv s="0">
    <v>536870912</v>
    <v>Minnesota</v>
    <v>77f97f6f-7e93-46e5-b486-6198effe8dea</v>
    <v>es-ES</v>
    <v>Map</v>
  </rv>
  <rv s="1">
    <fb>225163</fb>
    <v>12</v>
  </rv>
  <rv s="1">
    <fb>4.0999999999999995E-2</fb>
    <v>13</v>
  </rv>
  <rv s="0">
    <v>536870912</v>
    <v>Saint Paul</v>
    <v>1cc78952-7fdf-3532-7f33-51048c23af61</v>
    <v>es-DO</v>
    <v>Map</v>
  </rv>
  <rv s="0">
    <v>536870912</v>
    <v>Mineápolis</v>
    <v>def03125-42ba-47cd-8061-ee55f5c63e67</v>
    <v>es-DO</v>
    <v>Map</v>
  </rv>
  <rv s="1">
    <fb>2124745</fb>
    <v>12</v>
  </rv>
  <rv s="3">
    <v>20</v>
    <v>10</v>
    <v>97</v>
    <v>7</v>
    <v>0</v>
    <v>Image of Minnesota</v>
  </rv>
  <rv s="1">
    <fb>61492</fb>
    <v>14</v>
  </rv>
  <rv s="4">
    <v>https://www.bing.com/search?q=Minnesota&amp;form=skydnc</v>
    <v>Aprenda más con Bing</v>
  </rv>
  <rv s="0">
    <v>805306368</v>
    <v>Tim Walz (Gobernador)</v>
    <v>f38cda49-b64f-17fd-7bee-8b4b8615e92e</v>
    <v>es-DO</v>
    <v>Generic</v>
  </rv>
  <rv s="0">
    <v>805306368</v>
    <v>Peggy Flanagan (Vicegobernador)</v>
    <v>cf730391-3139-9782-b8cc-c66b64347b03</v>
    <v>es-DO</v>
    <v>Generic</v>
  </rv>
  <rv s="0">
    <v>805306368</v>
    <v>Amy Klobuchar (Senado)</v>
    <v>a294ff47-10a7-8131-50f3-95c593398b45</v>
    <v>es-DO</v>
    <v>Generic</v>
  </rv>
  <rv s="0">
    <v>805306368</v>
    <v>Tina Smith (Senado)</v>
    <v>44d231cd-8a99-36a8-9eca-f8421ec955dd</v>
    <v>es-DO</v>
    <v>Generic</v>
  </rv>
  <rv s="2">
    <v>30</v>
  </rv>
  <rv s="1">
    <fb>21449</fb>
    <v>12</v>
  </rv>
  <rv s="1">
    <fb>2.4900000000000002</fb>
    <v>15</v>
  </rv>
  <rv s="1">
    <fb>5793151</fb>
    <v>12</v>
  </rv>
  <rv s="1">
    <fb>0.7</fb>
    <v>13</v>
  </rv>
  <rv s="1">
    <fb>0.92400000000000004</fb>
    <v>13</v>
  </rv>
  <rv s="1">
    <fb>1.3000000000000001E-2</fb>
    <v>16</v>
  </rv>
  <rv s="1">
    <fb>0.33700000000000002</fb>
    <v>13</v>
  </rv>
  <rv s="1">
    <fb>0.23399999999999999</fb>
    <v>13</v>
  </rv>
  <rv s="1">
    <fb>7.6999999999999999E-2</fb>
    <v>13</v>
  </rv>
  <rv s="1">
    <fb>848</fb>
    <v>14</v>
  </rv>
  <rv s="1">
    <fb>2409935</fb>
    <v>12</v>
  </rv>
  <rv s="1">
    <fb>186200</fb>
    <v>14</v>
  </rv>
  <rv s="6">
    <v>#VALUE!</v>
    <v>es-ES</v>
    <v>77f97f6f-7e93-46e5-b486-6198effe8dea</v>
    <v>536870912</v>
    <v>1</v>
    <v>100</v>
    <v>5</v>
    <v>37</v>
    <v>Minnesota</v>
    <v>8</v>
    <v>9</v>
    <v>Map</v>
    <v>10</v>
    <v>11</v>
    <v>US-MN</v>
    <v>613</v>
    <v>614</v>
    <v>615</v>
    <v>616</v>
    <v>Minnesota es uno de los cincuenta estados que, junto con Washington D. C., forman los Estados Unidos. Su capital es Saint Paul y su ciudad más poblada, Mineápolis. Está ubicado en la región Medio Oeste del país, división Centro Noroeste. Limita ...</v>
    <v>617</v>
    <v>618</v>
    <v>619</v>
    <v>620</v>
    <v>625</v>
    <v>Minnesota</v>
    <v>15</v>
    <v>626</v>
    <v>627</v>
    <v>628</v>
    <v>523</v>
    <v>291</v>
    <v>404</v>
    <v>629</v>
    <v>630</v>
    <v>203</v>
    <v>631</v>
    <v>632</v>
    <v>125</v>
    <v>100</v>
    <v>633</v>
    <v>30</v>
    <v>28</v>
    <v>205</v>
    <v>634</v>
    <v>635</v>
    <v>636</v>
    <v>Minnesota</v>
    <v>637</v>
    <v>mdp/vdpid/21412</v>
    <v>37</v>
  </rv>
  <rv s="0">
    <v>536870912</v>
    <v>Misisipi</v>
    <v>6af619ca-217d-49c0-9a86-153fc7fbcd78</v>
    <v>es-ES</v>
    <v>Map</v>
  </rv>
  <rv s="1">
    <fb>125443</fb>
    <v>12</v>
  </rv>
  <rv s="1">
    <fb>6.9999999999999993E-3</fb>
    <v>13</v>
  </rv>
  <rv s="0">
    <v>536870912</v>
    <v>Jackson</v>
    <v>ed40f72a-f28d-48a5-887c-e021839859d4</v>
    <v>es-DO</v>
    <v>Map</v>
  </rv>
  <rv s="1">
    <fb>1096593</fb>
    <v>12</v>
  </rv>
  <rv s="3">
    <v>21</v>
    <v>10</v>
    <v>101</v>
    <v>7</v>
    <v>0</v>
    <v>Image of Misisipi</v>
  </rv>
  <rv s="1">
    <fb>39665</fb>
    <v>14</v>
  </rv>
  <rv s="4">
    <v>https://www.bing.com/search?q=Misisipi&amp;form=skydnc</v>
    <v>Aprenda más con Bing</v>
  </rv>
  <rv s="0">
    <v>805306368</v>
    <v>Tate Reeves (Gobernador)</v>
    <v>1213e585-32e8-e04c-eea2-e80c2d44dde8</v>
    <v>es-DO</v>
    <v>Generic</v>
  </rv>
  <rv s="0">
    <v>805306368</v>
    <v>Delbert Hosemann (Vicegobernador)</v>
    <v>babf7478-24bf-5e4a-6287-b982d6af7dc4</v>
    <v>es-DO</v>
    <v>Generic</v>
  </rv>
  <rv s="0">
    <v>805306368</v>
    <v>Roger Wicker (Senado)</v>
    <v>2d19585a-277f-194b-9f54-3a511aeb0a33</v>
    <v>es-DO</v>
    <v>Generic</v>
  </rv>
  <rv s="0">
    <v>805306368</v>
    <v>Cindy Hyde-Smith (Senado)</v>
    <v>3b271dfc-d5b2-6146-3047-72e8f0798b1b</v>
    <v>es-DO</v>
    <v>Generic</v>
  </rv>
  <rv s="2">
    <v>31</v>
  </rv>
  <rv s="1">
    <fb>6886</fb>
    <v>12</v>
  </rv>
  <rv s="1">
    <fb>2.64</fb>
    <v>15</v>
  </rv>
  <rv s="1">
    <fb>2943045</fb>
    <v>12</v>
  </rv>
  <rv s="1">
    <fb>1.1000000000000001E-2</fb>
    <v>13</v>
  </rv>
  <rv s="1">
    <fb>0.59499999999999997</fb>
    <v>13</v>
  </rv>
  <rv s="1">
    <fb>0.57499999999999996</fb>
    <v>13</v>
  </rv>
  <rv s="1">
    <fb>0.82299999999999995</fb>
    <v>13</v>
  </rv>
  <rv s="1">
    <fb>3.1E-2</fb>
    <v>13</v>
  </rv>
  <rv s="1">
    <fb>0.20699999999999999</fb>
    <v>13</v>
  </rv>
  <rv s="1">
    <fb>0.24299999999999999</fb>
    <v>13</v>
  </rv>
  <rv s="1">
    <fb>1307441</fb>
    <v>12</v>
  </rv>
  <rv s="1">
    <fb>103100</fb>
    <v>14</v>
  </rv>
  <rv s="5">
    <v>#VALUE!</v>
    <v>es-ES</v>
    <v>6af619ca-217d-49c0-9a86-153fc7fbcd78</v>
    <v>536870912</v>
    <v>1</v>
    <v>104</v>
    <v>5</v>
    <v>6</v>
    <v>Misisipi</v>
    <v>8</v>
    <v>9</v>
    <v>Map</v>
    <v>10</v>
    <v>11</v>
    <v>US-MS</v>
    <v>640</v>
    <v>641</v>
    <v>642</v>
    <v>642</v>
    <v>Misisipi o Misisipí es uno de los cincuenta estados que, junto con Washington D. C., forman los Estados Unidos de América. Su capital y ciudad más poblada es Jackson. Está ubicado en la región Sur del país, división Centro Sureste. Limita al ...</v>
    <v>643</v>
    <v>6</v>
    <v>644</v>
    <v>645</v>
    <v>646</v>
    <v>651</v>
    <v>Misisipi</v>
    <v>15</v>
    <v>652</v>
    <v>653</v>
    <v>654</v>
    <v>655</v>
    <v>656</v>
    <v>517</v>
    <v>657</v>
    <v>658</v>
    <v>659</v>
    <v>353</v>
    <v>660</v>
    <v>125</v>
    <v>100</v>
    <v>661</v>
    <v>30</v>
    <v>201</v>
    <v>525</v>
    <v>318</v>
    <v>34</v>
    <v>662</v>
    <v>Misisipi</v>
    <v>663</v>
    <v>mdp/vdpid/21502</v>
    <v>37</v>
  </rv>
  <rv s="0">
    <v>536870912</v>
    <v>Misuri</v>
    <v>6185f8cb-44e1-4da6-9bf0-b75286aeb591</v>
    <v>es-ES</v>
    <v>Map</v>
  </rv>
  <rv s="1">
    <fb>181533</fb>
    <v>12</v>
  </rv>
  <rv s="0">
    <v>536870912</v>
    <v>Jefferson City</v>
    <v>81535f0b-c6a8-d0ca-9542-f43e51dc1f18</v>
    <v>es-DO</v>
    <v>Map</v>
  </rv>
  <rv s="0">
    <v>536870912</v>
    <v>Kansas City</v>
    <v>5b93ac88-7242-4198-8c11-93854400c8d7</v>
    <v>es-DO</v>
    <v>Map</v>
  </rv>
  <rv s="1">
    <fb>2364688</fb>
    <v>12</v>
  </rv>
  <rv s="3">
    <v>22</v>
    <v>10</v>
    <v>105</v>
    <v>7</v>
    <v>0</v>
    <v>Image of Misuri</v>
  </rv>
  <rv s="1">
    <fb>48173</fb>
    <v>14</v>
  </rv>
  <rv s="4">
    <v>https://www.bing.com/search?q=Misuri&amp;form=skydnc</v>
    <v>Aprenda más con Bing</v>
  </rv>
  <rv s="0">
    <v>805306368</v>
    <v>Mike Kehoe (Gobernador)</v>
    <v>b2f50b37-ce14-c873-e2df-fd5943b7c015</v>
    <v>es-DO</v>
    <v>Generic</v>
  </rv>
  <rv s="0">
    <v>805306368</v>
    <v>David Wasinger (Vicegobernador)</v>
    <v>6010c711-8e35-e9ac-e4bc-03bd2b421f62</v>
    <v>es-DO</v>
    <v>Generic</v>
  </rv>
  <rv s="0">
    <v>805306368</v>
    <v>Josh Hawley (Senado)</v>
    <v>0709c075-3a21-a282-0ce8-ebac38b987b2</v>
    <v>es-DO</v>
    <v>Generic</v>
  </rv>
  <rv s="0">
    <v>805306368</v>
    <v>Eric Schmitt (Senado)</v>
    <v>caf9e43d-c854-9d49-f9db-caf2c6a3cf41</v>
    <v>es-DO</v>
    <v>Generic</v>
  </rv>
  <rv s="2">
    <v>32</v>
  </rv>
  <rv s="1">
    <fb>18997</fb>
    <v>12</v>
  </rv>
  <rv s="1">
    <fb>2.48</fb>
    <v>15</v>
  </rv>
  <rv s="1">
    <fb>6245466</fb>
    <v>12</v>
  </rv>
  <rv s="1">
    <fb>0.83299999999999996</fb>
    <v>13</v>
  </rv>
  <rv s="1">
    <fb>0.27100000000000002</fb>
    <v>13</v>
  </rv>
  <rv s="1">
    <fb>0.10400000000000001</fb>
    <v>13</v>
  </rv>
  <rv s="1">
    <fb>746</fb>
    <v>14</v>
  </rv>
  <rv s="1">
    <fb>2760084</fb>
    <v>12</v>
  </rv>
  <rv s="1">
    <fb>138400</fb>
    <v>14</v>
  </rv>
  <rv s="5">
    <v>#VALUE!</v>
    <v>es-ES</v>
    <v>6185f8cb-44e1-4da6-9bf0-b75286aeb591</v>
    <v>536870912</v>
    <v>1</v>
    <v>108</v>
    <v>5</v>
    <v>6</v>
    <v>Misuri</v>
    <v>8</v>
    <v>9</v>
    <v>Map</v>
    <v>10</v>
    <v>11</v>
    <v>US-MO</v>
    <v>666</v>
    <v>2</v>
    <v>667</v>
    <v>668</v>
    <v>Misuri es uno de los cincuenta estados que, junto con Washington D. C., forman los Estados Unidos de América. Su capital es Jefferson City y su ciudad más poblada, Kansas City. Se ubica en la región del Medio Oeste del país, división Centro ...</v>
    <v>669</v>
    <v>6</v>
    <v>670</v>
    <v>671</v>
    <v>672</v>
    <v>677</v>
    <v>Misuri</v>
    <v>15</v>
    <v>678</v>
    <v>679</v>
    <v>680</v>
    <v>93</v>
    <v>681</v>
    <v>196</v>
    <v>490</v>
    <v>230</v>
    <v>614</v>
    <v>353</v>
    <v>682</v>
    <v>27</v>
    <v>168</v>
    <v>465</v>
    <v>30</v>
    <v>32</v>
    <v>683</v>
    <v>228</v>
    <v>684</v>
    <v>685</v>
    <v>Misuri</v>
    <v>686</v>
    <v>mdp/vdpid/21512</v>
    <v>37</v>
  </rv>
  <rv s="0">
    <v>536870912</v>
    <v>Montana</v>
    <v>447d6cd5-53f6-4c8f-bf6c-9ff228415c3b</v>
    <v>es-ES</v>
    <v>Map</v>
  </rv>
  <rv s="1">
    <fb>381154</fb>
    <v>12</v>
  </rv>
  <rv s="0">
    <v>536870912</v>
    <v>Helena</v>
    <v>097df9b7-6962-dbe8-2072-661fa4996ede</v>
    <v>es-DO</v>
    <v>Map</v>
  </rv>
  <rv s="0">
    <v>536870912</v>
    <v>Billings</v>
    <v>c0f552c6-eaaf-4d0b-806d-6017c2034bbb</v>
    <v>es-DO</v>
    <v>Map</v>
  </rv>
  <rv s="1">
    <fb>409394</fb>
    <v>12</v>
  </rv>
  <rv s="3">
    <v>23</v>
    <v>10</v>
    <v>109</v>
    <v>7</v>
    <v>0</v>
    <v>Image of Montana</v>
  </rv>
  <rv s="1">
    <fb>47169</fb>
    <v>14</v>
  </rv>
  <rv s="4">
    <v>https://www.bing.com/search?q=Montana&amp;form=skydnc</v>
    <v>Aprenda más con Bing</v>
  </rv>
  <rv s="0">
    <v>805306368</v>
    <v>Greg Gianforte (Gobernador)</v>
    <v>d6243525-cd8a-23f1-fe91-bca377dc4fe8</v>
    <v>es-DO</v>
    <v>Generic</v>
  </rv>
  <rv s="0">
    <v>805306368</v>
    <v>Kristen Juras (Vicegobernador)</v>
    <v>17151917-f12f-38da-5ee2-575494f79565</v>
    <v>es-DO</v>
    <v>Generic</v>
  </rv>
  <rv s="0">
    <v>805306368</v>
    <v>Steve Daines (Senado)</v>
    <v>e1914ad2-d721-9e6d-119f-293a65a83734</v>
    <v>es-DO</v>
    <v>Generic</v>
  </rv>
  <rv s="0">
    <v>805306368</v>
    <v>Tim Sheehy (Senado)</v>
    <v>8686bdc6-b5fa-bd6f-1dd0-50ce3ac82575</v>
    <v>es-DO</v>
    <v>Generic</v>
  </rv>
  <rv s="2">
    <v>33</v>
  </rv>
  <rv s="1">
    <fb>4781</fb>
    <v>12</v>
  </rv>
  <rv s="1">
    <fb>2.41</fb>
    <v>15</v>
  </rv>
  <rv s="1">
    <fb>1137233</fb>
    <v>12</v>
  </rv>
  <rv s="1">
    <fb>0.89200000000000002</fb>
    <v>13</v>
  </rv>
  <rv s="1">
    <fb>0.63600000000000001</fb>
    <v>13</v>
  </rv>
  <rv s="1">
    <fb>0.92799999999999994</fb>
    <v>13</v>
  </rv>
  <rv s="1">
    <fb>3.6000000000000004E-2</fb>
    <v>13</v>
  </rv>
  <rv s="1">
    <fb>6.6000000000000003E-2</fb>
    <v>16</v>
  </rv>
  <rv s="1">
    <fb>0.29499999999999998</fb>
    <v>13</v>
  </rv>
  <rv s="1">
    <fb>0.17199999999999999</fb>
    <v>13</v>
  </rv>
  <rv s="1">
    <fb>0.21899999999999997</fb>
    <v>13</v>
  </rv>
  <rv s="1">
    <fb>6.0000000000000001E-3</fb>
    <v>13</v>
  </rv>
  <rv s="1">
    <fb>9.0999999999999998E-2</fb>
    <v>13</v>
  </rv>
  <rv s="1">
    <fb>711</fb>
    <v>14</v>
  </rv>
  <rv s="1">
    <fb>497756</fb>
    <v>12</v>
  </rv>
  <rv s="1">
    <fb>193500</fb>
    <v>14</v>
  </rv>
  <rv s="5">
    <v>#VALUE!</v>
    <v>es-ES</v>
    <v>447d6cd5-53f6-4c8f-bf6c-9ff228415c3b</v>
    <v>536870912</v>
    <v>1</v>
    <v>112</v>
    <v>5</v>
    <v>6</v>
    <v>Montana</v>
    <v>8</v>
    <v>9</v>
    <v>Map</v>
    <v>10</v>
    <v>11</v>
    <v>US-MT</v>
    <v>689</v>
    <v>110</v>
    <v>690</v>
    <v>691</v>
    <v>Montana es uno de los cincuenta estados que, junto con Washington D. C., forman los Estados Unidos de América. Su capital es Helena y su ciudad más poblada, Billings. Está ubicado en la región oeste del país, en las Montañas Rocosas. Limita al ...</v>
    <v>692</v>
    <v>6</v>
    <v>693</v>
    <v>694</v>
    <v>695</v>
    <v>700</v>
    <v>Montana</v>
    <v>15</v>
    <v>701</v>
    <v>702</v>
    <v>703</v>
    <v>324</v>
    <v>704</v>
    <v>57</v>
    <v>705</v>
    <v>706</v>
    <v>707</v>
    <v>708</v>
    <v>709</v>
    <v>710</v>
    <v>28</v>
    <v>711</v>
    <v>30</v>
    <v>712</v>
    <v>713</v>
    <v>375</v>
    <v>714</v>
    <v>715</v>
    <v>Montana</v>
    <v>716</v>
    <v>mdp/vdpid/21789</v>
    <v>176</v>
  </rv>
  <rv s="0">
    <v>536870912</v>
    <v>Nebraska</v>
    <v>3e64ff5d-6b40-4dbe-91b1-0e554e892496</v>
    <v>es-ES</v>
    <v>Map</v>
  </rv>
  <rv s="1">
    <fb>200520</fb>
    <v>12</v>
  </rv>
  <rv s="1">
    <fb>4.4000000000000004E-2</fb>
    <v>13</v>
  </rv>
  <rv s="0">
    <v>536870912</v>
    <v>Lincoln</v>
    <v>38974d3e-7769-4d06-b772-31a57932a126</v>
    <v>es-DO</v>
    <v>Map</v>
  </rv>
  <rv s="0">
    <v>536870912</v>
    <v>Omaha</v>
    <v>3e9b5a28-f96c-420a-8065-6b1bd5aba459</v>
    <v>es-DO</v>
    <v>Map</v>
  </rv>
  <rv s="1">
    <fb>736613</fb>
    <v>12</v>
  </rv>
  <rv s="3">
    <v>24</v>
    <v>10</v>
    <v>113</v>
    <v>7</v>
    <v>0</v>
    <v>Image of Nebraska</v>
  </rv>
  <rv s="1">
    <fb>52997</fb>
    <v>14</v>
  </rv>
  <rv s="4">
    <v>https://www.bing.com/search?q=Nebraska&amp;form=skydnc</v>
    <v>Aprenda más con Bing</v>
  </rv>
  <rv s="0">
    <v>805306368</v>
    <v>Jim Pillen (Gobernador)</v>
    <v>d609858d-2007-ee0a-defb-14ae1c2ab4d3</v>
    <v>es-DO</v>
    <v>Generic</v>
  </rv>
  <rv s="0">
    <v>805306368</v>
    <v>Joe Kelly (Vicegobernador)</v>
    <v>f92108f4-90b9-9d3b-9c97-08750cd4d3ee</v>
    <v>es-DO</v>
    <v>Generic</v>
  </rv>
  <rv s="0">
    <v>805306368</v>
    <v>Deb Fischer (Senado)</v>
    <v>f5e75ca0-d749-2530-45f3-da6ea135796e</v>
    <v>es-DO</v>
    <v>Generic</v>
  </rv>
  <rv s="0">
    <v>805306368</v>
    <v>Pete Ricketts (Senado)</v>
    <v>97fb5bd9-8ab3-b066-54d6-344dc18b656e</v>
    <v>es-DO</v>
    <v>Generic</v>
  </rv>
  <rv s="2">
    <v>34</v>
  </rv>
  <rv s="1">
    <fb>8078</fb>
    <v>12</v>
  </rv>
  <rv s="1">
    <fb>2.4700000000000002</fb>
    <v>15</v>
  </rv>
  <rv s="1">
    <fb>2005465</fb>
    <v>12</v>
  </rv>
  <rv s="1">
    <fb>0.8909999999999999</fb>
    <v>13</v>
  </rv>
  <rv s="1">
    <fb>0.69900000000000007</fb>
    <v>13</v>
  </rv>
  <rv s="1">
    <fb>1.3999999999999999E-2</fb>
    <v>16</v>
  </rv>
  <rv s="1">
    <fb>0.29299999999999998</fb>
    <v>13</v>
  </rv>
  <rv s="1">
    <fb>0.248</fb>
    <v>13</v>
  </rv>
  <rv s="1">
    <fb>7.2999999999999995E-2</fb>
    <v>13</v>
  </rv>
  <rv s="1">
    <fb>726</fb>
    <v>14</v>
  </rv>
  <rv s="1">
    <fb>827156</fb>
    <v>12</v>
  </rv>
  <rv s="1">
    <fb>133200</fb>
    <v>14</v>
  </rv>
  <rv s="5">
    <v>#VALUE!</v>
    <v>es-ES</v>
    <v>3e64ff5d-6b40-4dbe-91b1-0e554e892496</v>
    <v>536870912</v>
    <v>1</v>
    <v>116</v>
    <v>5</v>
    <v>6</v>
    <v>Nebraska</v>
    <v>8</v>
    <v>9</v>
    <v>Map</v>
    <v>10</v>
    <v>11</v>
    <v>US-NE</v>
    <v>719</v>
    <v>720</v>
    <v>721</v>
    <v>722</v>
    <v>Nebraska es uno de los cincuenta estados que, junto con Washington D. C., forman los Estados Unidos de América. Su capital es Lincoln y su ciudad más poblada, Omaha. Se ubica en la región Medio Oeste del país, división Centro Noroeste, limitando ...</v>
    <v>723</v>
    <v>6</v>
    <v>724</v>
    <v>725</v>
    <v>726</v>
    <v>731</v>
    <v>Nebraska</v>
    <v>15</v>
    <v>732</v>
    <v>733</v>
    <v>734</v>
    <v>318</v>
    <v>735</v>
    <v>375</v>
    <v>736</v>
    <v>163</v>
    <v>683</v>
    <v>737</v>
    <v>738</v>
    <v>125</v>
    <v>438</v>
    <v>739</v>
    <v>30</v>
    <v>493</v>
    <v>740</v>
    <v>571</v>
    <v>741</v>
    <v>742</v>
    <v>Nebraska</v>
    <v>743</v>
    <v>mdp/vdpid/22869</v>
    <v>176</v>
  </rv>
  <rv s="0">
    <v>536870912</v>
    <v>Nevada</v>
    <v>c2157d7e-617e-4517-80f8-1b08113afc14</v>
    <v>es-ES</v>
    <v>Map</v>
  </rv>
  <rv s="1">
    <fb>286380</fb>
    <v>12</v>
  </rv>
  <rv s="1">
    <fb>8.900000000000001E-2</fb>
    <v>13</v>
  </rv>
  <rv s="0">
    <v>536870912</v>
    <v>Carson City</v>
    <v>f0c7f70e-d0c0-8645-b649-8550dc083057</v>
    <v>es-DO</v>
    <v>Map</v>
  </rv>
  <rv s="0">
    <v>536870912</v>
    <v>Las Vegas</v>
    <v>26dfb75a-3573-4ff8-bbb3-b8cadaea23a8</v>
    <v>es-DO</v>
    <v>Map</v>
  </rv>
  <rv s="1">
    <fb>1016709</fb>
    <v>12</v>
  </rv>
  <rv s="3">
    <v>25</v>
    <v>10</v>
    <v>117</v>
    <v>7</v>
    <v>0</v>
    <v>Image of Nevada</v>
  </rv>
  <rv s="1">
    <fb>51847</fb>
    <v>14</v>
  </rv>
  <rv s="4">
    <v>https://www.bing.com/search?q=Nevada&amp;form=skydnc</v>
    <v>Aprenda más con Bing</v>
  </rv>
  <rv s="0">
    <v>805306368</v>
    <v>Joe Lombardo (Gobernador)</v>
    <v>65fbb35a-0e80-cfb3-c7b1-c64105f84476</v>
    <v>es-DO</v>
    <v>Generic</v>
  </rv>
  <rv s="0">
    <v>805306368</v>
    <v>Stavros Anthony (Vicegobernador)</v>
    <v>7faa710d-04ef-671a-5f0d-95ba24654786</v>
    <v>es-DO</v>
    <v>Generic</v>
  </rv>
  <rv s="0">
    <v>805306368</v>
    <v>Catherine Cortez Masto (Senado)</v>
    <v>189fb541-01c0-7a3b-1707-d6ebf473b55d</v>
    <v>es-DO</v>
    <v>Generic</v>
  </rv>
  <rv s="0">
    <v>805306368</v>
    <v>Jacky Rosen (Senado)</v>
    <v>f74e29f0-6285-515f-55ae-1ce802bf1aa4</v>
    <v>es-DO</v>
    <v>Generic</v>
  </rv>
  <rv s="2">
    <v>35</v>
  </rv>
  <rv s="1">
    <fb>17952</fb>
    <v>12</v>
  </rv>
  <rv s="1">
    <fb>2.72</fb>
    <v>15</v>
  </rv>
  <rv s="1">
    <fb>3267467</fb>
    <v>12</v>
  </rv>
  <rv s="1">
    <fb>0.75700000000000001</fb>
    <v>13</v>
  </rv>
  <rv s="1">
    <fb>0.64</fb>
    <v>13</v>
  </rv>
  <rv s="1">
    <fb>0.85099999999999998</fb>
    <v>13</v>
  </rv>
  <rv s="1">
    <fb>0.28100000000000003</fb>
    <v>13</v>
  </rv>
  <rv s="1">
    <fb>0.23100000000000001</fb>
    <v>13</v>
  </rv>
  <rv s="1">
    <fb>9.3000000000000013E-2</fb>
    <v>13</v>
  </rv>
  <rv s="1">
    <fb>0.192</fb>
    <v>13</v>
  </rv>
  <rv s="1">
    <fb>973</fb>
    <v>14</v>
  </rv>
  <rv s="1">
    <fb>1221698</fb>
    <v>12</v>
  </rv>
  <rv s="1">
    <fb>173700</fb>
    <v>14</v>
  </rv>
  <rv s="2">
    <v>36</v>
  </rv>
  <rv s="6">
    <v>#VALUE!</v>
    <v>es-ES</v>
    <v>c2157d7e-617e-4517-80f8-1b08113afc14</v>
    <v>536870912</v>
    <v>1</v>
    <v>120</v>
    <v>5</v>
    <v>37</v>
    <v>Nevada</v>
    <v>8</v>
    <v>9</v>
    <v>Map</v>
    <v>10</v>
    <v>11</v>
    <v>US-NV</v>
    <v>746</v>
    <v>747</v>
    <v>748</v>
    <v>749</v>
    <v>Nevada es uno de los cincuenta estados que, junto con Washington D. C., forman los Estados Unidos. Su capital es Carson City y su mayor ciudad es Las Vegas, famosa por sus casinos y la legalización del juego. Está ubicado en la región Oeste del ...</v>
    <v>750</v>
    <v>751</v>
    <v>752</v>
    <v>753</v>
    <v>758</v>
    <v>Nevada</v>
    <v>15</v>
    <v>759</v>
    <v>760</v>
    <v>761</v>
    <v>237</v>
    <v>762</v>
    <v>614</v>
    <v>763</v>
    <v>764</v>
    <v>765</v>
    <v>165</v>
    <v>169</v>
    <v>382</v>
    <v>325</v>
    <v>766</v>
    <v>324</v>
    <v>767</v>
    <v>231</v>
    <v>768</v>
    <v>769</v>
    <v>770</v>
    <v>Nevada</v>
    <v>771</v>
    <v>mdp/vdpid/23035</v>
    <v>772</v>
  </rv>
  <rv s="0">
    <v>536870912</v>
    <v>Nuevo Hampshire</v>
    <v>9ca71997-cc97-46eb-8911-fac32f80b0b1</v>
    <v>es-ES</v>
    <v>Map</v>
  </rv>
  <rv s="1">
    <fb>24214</fb>
    <v>12</v>
  </rv>
  <rv s="0">
    <v>536870912</v>
    <v>Concord</v>
    <v>d65980fb-3dad-44a3-6f66-92662eca6d4f</v>
    <v>es-DO</v>
    <v>Map</v>
  </rv>
  <rv s="0">
    <v>536870912</v>
    <v>Mánchester</v>
    <v>f86d8a4e-96a6-418e-8b73-417f59efae56</v>
    <v>es-DO</v>
    <v>Map</v>
  </rv>
  <rv s="1">
    <fb>520251</fb>
    <v>12</v>
  </rv>
  <rv s="3">
    <v>26</v>
    <v>10</v>
    <v>121</v>
    <v>7</v>
    <v>0</v>
    <v>Image of Nuevo Hampshire</v>
  </rv>
  <rv s="1">
    <fb>66779</fb>
    <v>14</v>
  </rv>
  <rv s="4">
    <v>https://www.bing.com/search?q=Nuevo+Hampshire&amp;form=skydnc</v>
    <v>Aprenda más con Bing</v>
  </rv>
  <rv s="0">
    <v>805306368</v>
    <v>Kelly Ayotte (Gobernador)</v>
    <v>22e78637-0632-f40b-8a78-3d6b73927e68</v>
    <v>es-DO</v>
    <v>Generic</v>
  </rv>
  <rv s="0">
    <v>805306368</v>
    <v>Jeanne Shaheen (Senado)</v>
    <v>c278a5cb-da61-5373-662f-cabd9a88a1d6</v>
    <v>es-DO</v>
    <v>Generic</v>
  </rv>
  <rv s="0">
    <v>805306368</v>
    <v>Maggie Hassan (Senado)</v>
    <v>79e38386-9baa-29e2-1c79-c4c02b113213</v>
    <v>es-DO</v>
    <v>Generic</v>
  </rv>
  <rv s="2">
    <v>37</v>
  </rv>
  <rv s="1">
    <fb>3796</fb>
    <v>12</v>
  </rv>
  <rv s="1">
    <fb>1409032</fb>
    <v>12</v>
  </rv>
  <rv s="1">
    <fb>2.6000000000000002E-2</fb>
    <v>13</v>
  </rv>
  <rv s="1">
    <fb>0.93900000000000006</fb>
    <v>13</v>
  </rv>
  <rv s="1">
    <fb>0.68200000000000005</fb>
    <v>13</v>
  </rv>
  <rv s="1">
    <fb>0.92299999999999993</fb>
    <v>13</v>
  </rv>
  <rv s="1">
    <fb>0.34899999999999998</fb>
    <v>13</v>
  </rv>
  <rv s="1">
    <fb>0.16500000000000001</fb>
    <v>13</v>
  </rv>
  <rv s="1">
    <fb>0.19800000000000001</fb>
    <v>13</v>
  </rv>
  <rv s="1">
    <fb>1000</fb>
    <v>14</v>
  </rv>
  <rv s="1">
    <fb>625307</fb>
    <v>12</v>
  </rv>
  <rv s="1">
    <fb>237300</fb>
    <v>14</v>
  </rv>
  <rv s="8">
    <v>#VALUE!</v>
    <v>es-ES</v>
    <v>9ca71997-cc97-46eb-8911-fac32f80b0b1</v>
    <v>536870912</v>
    <v>1</v>
    <v>124</v>
    <v>82</v>
    <v>125</v>
    <v>Nuevo Hampshire</v>
    <v>8</v>
    <v>9</v>
    <v>Map</v>
    <v>10</v>
    <v>84</v>
    <v>US-NH</v>
    <v>775</v>
    <v>19</v>
    <v>776</v>
    <v>777</v>
    <v>Nuevo Hampshire es uno de los cincuenta estados que, junto con Washington D. C., forman los Estados Unidos de América. Su capital es Concord y su ciudad más poblada, Mánchester. Está ubicado en la región noreste del país, en Nueva Inglaterra, ...</v>
    <v>778</v>
    <v>6</v>
    <v>779</v>
    <v>780</v>
    <v>781</v>
    <v>785</v>
    <v>Nuevo Hampshire</v>
    <v>15</v>
    <v>786</v>
    <v>733</v>
    <v>787</v>
    <v>788</v>
    <v>789</v>
    <v>21</v>
    <v>790</v>
    <v>791</v>
    <v>55</v>
    <v>462</v>
    <v>792</v>
    <v>793</v>
    <v>523</v>
    <v>794</v>
    <v>316</v>
    <v>237</v>
    <v>408</v>
    <v>795</v>
    <v>796</v>
    <v>Nuevo Hampshire</v>
    <v>797</v>
    <v>mdp/vdpid/23097</v>
    <v>210</v>
  </rv>
  <rv s="0">
    <v>536870912</v>
    <v>Nueva Jersey</v>
    <v>05277898-b62b-4878-8632-09d29756a2ff</v>
    <v>es-ES</v>
    <v>Map</v>
  </rv>
  <rv s="1">
    <fb>22591.4</fb>
    <v>12</v>
  </rv>
  <rv s="0">
    <v>536870912</v>
    <v>Trenton</v>
    <v>6fa8f821-25c7-45dc-ab44-318e7657779c</v>
    <v>es-DO</v>
    <v>Map</v>
  </rv>
  <rv s="0">
    <v>536870912</v>
    <v>Newark</v>
    <v>12526fe6-792c-45e6-8124-54fec8a5d9e0</v>
    <v>es-DO</v>
    <v>Map</v>
  </rv>
  <rv s="1">
    <fb>3189486</fb>
    <v>12</v>
  </rv>
  <rv s="3">
    <v>27</v>
    <v>10</v>
    <v>126</v>
    <v>7</v>
    <v>0</v>
    <v>Image of Nueva Jersey</v>
  </rv>
  <rv s="1">
    <fb>72093</fb>
    <v>14</v>
  </rv>
  <rv s="4">
    <v>https://www.bing.com/search?q=Nueva+Jersey&amp;form=skydnc</v>
    <v>Aprenda más con Bing</v>
  </rv>
  <rv s="0">
    <v>805306368</v>
    <v>Phil Murphy (Gobernador)</v>
    <v>5f2e6941-5a52-30bf-801e-af03a8a1c6f8</v>
    <v>es-DO</v>
    <v>Generic</v>
  </rv>
  <rv s="0">
    <v>805306368</v>
    <v>Tahesha Way (Vicegobernador)</v>
    <v>f27ba542-e503-cdab-ab90-93caed490f68</v>
    <v>es-DO</v>
    <v>Generic</v>
  </rv>
  <rv s="0">
    <v>805306368</v>
    <v>Robert Menendez (Senado)</v>
    <v>c6ef2717-08b7-ea7c-9b8f-e45aff0d510f</v>
    <v>es-DO</v>
    <v>Generic</v>
  </rv>
  <rv s="0">
    <v>805306368</v>
    <v>Cory Booker (Senado)</v>
    <v>d883e813-4e4d-8245-2d50-b9f9e13072c6</v>
    <v>es-DO</v>
    <v>Generic</v>
  </rv>
  <rv s="2">
    <v>38</v>
  </rv>
  <rv s="1">
    <fb>26793</fb>
    <v>12</v>
  </rv>
  <rv s="1">
    <fb>9288994</fb>
    <v>12</v>
  </rv>
  <rv s="1">
    <fb>0.72599999999999998</fb>
    <v>13</v>
  </rv>
  <rv s="1">
    <fb>0.65900000000000003</fb>
    <v>13</v>
  </rv>
  <rv s="1">
    <fb>0.8859999999999999</fb>
    <v>13</v>
  </rv>
  <rv s="1">
    <fb>0.36799999999999999</fb>
    <v>13</v>
  </rv>
  <rv s="1">
    <fb>0.15</fb>
    <v>13</v>
  </rv>
  <rv s="1">
    <fb>0.14800000000000002</fb>
    <v>13</v>
  </rv>
  <rv s="1">
    <fb>0.217</fb>
    <v>13</v>
  </rv>
  <rv s="1">
    <fb>1192</fb>
    <v>14</v>
  </rv>
  <rv s="1">
    <fb>3604409</fb>
    <v>12</v>
  </rv>
  <rv s="1">
    <fb>315900</fb>
    <v>14</v>
  </rv>
  <rv s="5">
    <v>#VALUE!</v>
    <v>es-ES</v>
    <v>05277898-b62b-4878-8632-09d29756a2ff</v>
    <v>536870912</v>
    <v>1</v>
    <v>129</v>
    <v>5</v>
    <v>6</v>
    <v>Nueva Jersey</v>
    <v>8</v>
    <v>9</v>
    <v>Map</v>
    <v>10</v>
    <v>130</v>
    <v>US-NJ</v>
    <v>800</v>
    <v>2</v>
    <v>801</v>
    <v>802</v>
    <v>Nueva Jersey es uno de los cincuenta estados que, junto con Washington D. C., forman los Estados Unidos. Su capital es Trenton y su ciudad más poblada, Newark. Está ubicado en el este-noreste del país, en la región de Atlántico Medio. Limita al ...</v>
    <v>803</v>
    <v>80</v>
    <v>804</v>
    <v>805</v>
    <v>806</v>
    <v>811</v>
    <v>Nueva Jersey</v>
    <v>15</v>
    <v>812</v>
    <v>286</v>
    <v>813</v>
    <v>384</v>
    <v>814</v>
    <v>375</v>
    <v>815</v>
    <v>816</v>
    <v>268</v>
    <v>353</v>
    <v>817</v>
    <v>818</v>
    <v>234</v>
    <v>463</v>
    <v>30</v>
    <v>819</v>
    <v>571</v>
    <v>820</v>
    <v>821</v>
    <v>822</v>
    <v>Nueva Jersey</v>
    <v>823</v>
    <v>mdp/vdpid/23117</v>
    <v>210</v>
  </rv>
  <rv s="0">
    <v>536870912</v>
    <v>Nuevo México</v>
    <v>a16d3636-4349-41c7-a77e-89e34b26a8ad</v>
    <v>es-ES</v>
    <v>Map</v>
  </rv>
  <rv s="1">
    <fb>315194</fb>
    <v>12</v>
  </rv>
  <rv s="0">
    <v>536870912</v>
    <v>Santa Fe</v>
    <v>4b18f381-d510-4934-8a88-4507135c578d</v>
    <v>es-DO</v>
    <v>Map</v>
  </rv>
  <rv s="0">
    <v>536870912</v>
    <v>Albuquerque</v>
    <v>7fffaaf6-e694-4095-be90-f6492cadbd58</v>
    <v>es-DO</v>
    <v>Map</v>
  </rv>
  <rv s="1">
    <fb>763603</fb>
    <v>12</v>
  </rv>
  <rv s="3">
    <v>28</v>
    <v>10</v>
    <v>131</v>
    <v>7</v>
    <v>0</v>
    <v>Image of Nuevo México</v>
  </rv>
  <rv s="1">
    <fb>44963</fb>
    <v>14</v>
  </rv>
  <rv s="4">
    <v>https://www.bing.com/search?q=Nuevo+M%c3%a9xico&amp;form=skydnc</v>
    <v>Aprenda más con Bing</v>
  </rv>
  <rv s="0">
    <v>805306368</v>
    <v>Michelle Lujan Grisham (Gobernador)</v>
    <v>fe49b454-a2aa-4dfe-a1ba-763d379a487f</v>
    <v>es-DO</v>
    <v>Generic</v>
  </rv>
  <rv s="0">
    <v>805306368</v>
    <v>Howie Morales (Vicegobernador)</v>
    <v>d94f2150-c331-242b-1da6-e02f93039204</v>
    <v>es-DO</v>
    <v>Generic</v>
  </rv>
  <rv s="0">
    <v>805306368</v>
    <v>Martin Heinrich (Senado)</v>
    <v>da49350f-b13e-156f-2772-ade036c3a48d</v>
    <v>es-DO</v>
    <v>Generic</v>
  </rv>
  <rv s="0">
    <v>805306368</v>
    <v>Ben Ray Luján (Senado)</v>
    <v>b17634b0-5581-755b-9649-1736eceef176</v>
    <v>es-DO</v>
    <v>Generic</v>
  </rv>
  <rv s="2">
    <v>39</v>
  </rv>
  <rv s="1">
    <fb>4863</fb>
    <v>12</v>
  </rv>
  <rv s="1">
    <fb>2130256</fb>
    <v>12</v>
  </rv>
  <rv s="1">
    <fb>0.82499999999999996</fb>
    <v>13</v>
  </rv>
  <rv s="1">
    <fb>0.48</fb>
    <v>13</v>
  </rv>
  <rv s="1">
    <fb>0.105</fb>
    <v>16</v>
  </rv>
  <rv s="1">
    <fb>0.26300000000000001</fb>
    <v>13</v>
  </rv>
  <rv s="1">
    <fb>0.10099999999999999</fb>
    <v>13</v>
  </rv>
  <rv s="1">
    <fb>917568</fb>
    <v>12</v>
  </rv>
  <rv s="1">
    <fb>160300</fb>
    <v>14</v>
  </rv>
  <rv s="6">
    <v>#VALUE!</v>
    <v>es-ES</v>
    <v>a16d3636-4349-41c7-a77e-89e34b26a8ad</v>
    <v>536870912</v>
    <v>1</v>
    <v>134</v>
    <v>5</v>
    <v>37</v>
    <v>Nuevo México</v>
    <v>8</v>
    <v>9</v>
    <v>Map</v>
    <v>10</v>
    <v>11</v>
    <v>US-NM</v>
    <v>826</v>
    <v>655</v>
    <v>827</v>
    <v>828</v>
    <v>Nuevo México es uno de los cincuenta estados que, junto con Washington D. C., forman los Estados Unidos. Su capital es Santa Fe y su ciudad más poblada, Albuquerque. Está ubicado en la región Oeste del país, división Montañas Rocosas. Limita al ...</v>
    <v>829</v>
    <v>830</v>
    <v>831</v>
    <v>832</v>
    <v>837</v>
    <v>Nuevo México</v>
    <v>15</v>
    <v>838</v>
    <v>543</v>
    <v>839</v>
    <v>2</v>
    <v>840</v>
    <v>77</v>
    <v>460</v>
    <v>461</v>
    <v>841</v>
    <v>842</v>
    <v>843</v>
    <v>202</v>
    <v>136</v>
    <v>65</v>
    <v>170</v>
    <v>788</v>
    <v>844</v>
    <v>172</v>
    <v>526</v>
    <v>845</v>
    <v>Nuevo México</v>
    <v>846</v>
    <v>mdp/vdpid/23132</v>
    <v>176</v>
  </rv>
  <rv s="0">
    <v>536870912</v>
    <v>Nueva York</v>
    <v>caeb7b9a-f5d7-4686-8fb5-cf7628296b13</v>
    <v>es-ES</v>
    <v>Map</v>
  </rv>
  <rv s="1">
    <fb>141300</fb>
    <v>12</v>
  </rv>
  <rv s="0">
    <v>536870912</v>
    <v>Albany</v>
    <v>62ca8245-972e-448d-af38-345d4a958798</v>
    <v>es-DO</v>
    <v>Map</v>
  </rv>
  <rv s="0">
    <v>536870912</v>
    <v>Nueva York</v>
    <v>60d5dc2b-c915-460b-b722-c9e3485499ca</v>
    <v>es-DO</v>
    <v>Map</v>
  </rv>
  <rv s="1">
    <fb>7262279</fb>
    <v>12</v>
  </rv>
  <rv s="3">
    <v>29</v>
    <v>10</v>
    <v>135</v>
    <v>7</v>
    <v>0</v>
    <v>Image of Nueva York</v>
  </rv>
  <rv s="1">
    <fb>59269</fb>
    <v>14</v>
  </rv>
  <rv s="4">
    <v>https://www.bing.com/search?q=Nueva+York+estado&amp;form=skydnc</v>
    <v>Aprenda más con Bing</v>
  </rv>
  <rv s="0">
    <v>805306368</v>
    <v>Kathy Hochul (Gobernador)</v>
    <v>df92839d-3205-3454-b70c-aeefc37041a6</v>
    <v>es-DO</v>
    <v>Generic</v>
  </rv>
  <rv s="0">
    <v>805306368</v>
    <v>Antonio Delgado (Vicegobernador)</v>
    <v>c20a119d-42bf-2146-a5a5-f4ec19b8a648</v>
    <v>es-DO</v>
    <v>Generic</v>
  </rv>
  <rv s="0">
    <v>805306368</v>
    <v>Chuck Schumer (Senado)</v>
    <v>d606edaa-bebe-be4b-5e66-17b8a58806b2</v>
    <v>es-DO</v>
    <v>Generic</v>
  </rv>
  <rv s="0">
    <v>805306368</v>
    <v>Kirsten Gillibrand (Senado)</v>
    <v>ae592704-1bd7-e270-aa09-cb6ec83b3467</v>
    <v>es-DO</v>
    <v>Generic</v>
  </rv>
  <rv s="2">
    <v>40</v>
  </rv>
  <rv s="1">
    <fb>33711</fb>
    <v>12</v>
  </rv>
  <rv s="1">
    <fb>20201249</fb>
    <v>12</v>
  </rv>
  <rv s="1">
    <fb>0.70099999999999996</fb>
    <v>13</v>
  </rv>
  <rv s="1">
    <fb>0.63300000000000001</fb>
    <v>13</v>
  </rv>
  <rv s="1">
    <fb>0.85599999999999998</fb>
    <v>13</v>
  </rv>
  <rv s="1">
    <fb>0.34200000000000003</fb>
    <v>13</v>
  </rv>
  <rv s="1">
    <fb>0.17600000000000002</fb>
    <v>13</v>
  </rv>
  <rv s="1">
    <fb>1132</fb>
    <v>14</v>
  </rv>
  <rv s="1">
    <fb>8231687</fb>
    <v>12</v>
  </rv>
  <rv s="1">
    <fb>283400</fb>
    <v>14</v>
  </rv>
  <rv s="6">
    <v>#VALUE!</v>
    <v>es-ES</v>
    <v>caeb7b9a-f5d7-4686-8fb5-cf7628296b13</v>
    <v>536870912</v>
    <v>1</v>
    <v>138</v>
    <v>5</v>
    <v>37</v>
    <v>Nueva York</v>
    <v>8</v>
    <v>9</v>
    <v>Map</v>
    <v>10</v>
    <v>130</v>
    <v>US-NY</v>
    <v>849</v>
    <v>349</v>
    <v>850</v>
    <v>851</v>
    <v>Nueva York es uno de los cincuenta estados que, junto con Washington D. C., forman los Estados Unidos. Su capital es Albany y su ciudad más poblada, la homónima Nueva York. Está ubicado en la región Noreste del país, división Atlántico Medio, ...</v>
    <v>852</v>
    <v>853</v>
    <v>854</v>
    <v>855</v>
    <v>860</v>
    <v>Nueva York</v>
    <v>15</v>
    <v>861</v>
    <v>257</v>
    <v>862</v>
    <v>296</v>
    <v>863</v>
    <v>404</v>
    <v>864</v>
    <v>865</v>
    <v>522</v>
    <v>97</v>
    <v>866</v>
    <v>818</v>
    <v>28</v>
    <v>164</v>
    <v>30</v>
    <v>867</v>
    <v>303</v>
    <v>495</v>
    <v>868</v>
    <v>869</v>
    <v>Nueva York</v>
    <v>870</v>
    <v>mdp/vdpid/23161</v>
    <v>210</v>
  </rv>
  <rv s="0">
    <v>536870912</v>
    <v>Carolina del Norte</v>
    <v>9e2bf053-dd80-4646-8f26-65075e7085c0</v>
    <v>es-ES</v>
    <v>Map</v>
  </rv>
  <rv s="1">
    <fb>139390</fb>
    <v>12</v>
  </rv>
  <rv s="0">
    <v>536870912</v>
    <v>Raleigh</v>
    <v>7b706445-83c5-46a4-bb70-cff23cd555d3</v>
    <v>es-DO</v>
    <v>Map</v>
  </rv>
  <rv s="0">
    <v>536870912</v>
    <v>Charlotte</v>
    <v>e6558399-4151-4390-ad12-f2a72b268ce7</v>
    <v>es-DO</v>
    <v>Map</v>
  </rv>
  <rv s="1">
    <fb>3775581</fb>
    <v>12</v>
  </rv>
  <rv s="3">
    <v>30</v>
    <v>10</v>
    <v>139</v>
    <v>7</v>
    <v>0</v>
    <v>Image of Carolina del Norte</v>
  </rv>
  <rv s="1">
    <fb>46868</fb>
    <v>14</v>
  </rv>
  <rv s="4">
    <v>https://www.bing.com/search?q=Carolina+del+Norte&amp;form=skydnc</v>
    <v>Aprenda más con Bing</v>
  </rv>
  <rv s="0">
    <v>805306368</v>
    <v>Josh Stein (Gobernador)</v>
    <v>bd9e85b8-9788-a6bb-f6f8-da4439010652</v>
    <v>es-DO</v>
    <v>Generic</v>
  </rv>
  <rv s="0">
    <v>805306368</v>
    <v>Rachel H. Hunt (Vicegobernador)</v>
    <v>7a115748-1b0e-73d2-e474-930c4c40a56c</v>
    <v>es-DO</v>
    <v>Generic</v>
  </rv>
  <rv s="0">
    <v>805306368</v>
    <v>Thom Tillis (Senado)</v>
    <v>2f3de2c4-5375-4957-ae4e-f7b61b1ad7da</v>
    <v>es-DO</v>
    <v>Generic</v>
  </rv>
  <rv s="0">
    <v>805306368</v>
    <v>Ted Budd (Senado)</v>
    <v>45ffd2c1-154a-426a-adb2-4685e39394cd</v>
    <v>es-DO</v>
    <v>Generic</v>
  </rv>
  <rv s="2">
    <v>41</v>
  </rv>
  <rv s="1">
    <fb>60550</fb>
    <v>12</v>
  </rv>
  <rv s="1">
    <fb>2.54</fb>
    <v>15</v>
  </rv>
  <rv s="1">
    <fb>11046024</fb>
    <v>12</v>
  </rv>
  <rv s="1">
    <fb>0.71200000000000008</fb>
    <v>13</v>
  </rv>
  <rv s="1">
    <fb>0.61799999999999999</fb>
    <v>13</v>
  </rv>
  <rv s="1">
    <fb>0.28399999999999997</fb>
    <v>13</v>
  </rv>
  <rv s="1">
    <fb>0.151</fb>
    <v>13</v>
  </rv>
  <rv s="1">
    <fb>0.22800000000000001</fb>
    <v>13</v>
  </rv>
  <rv s="1">
    <fb>0.221</fb>
    <v>13</v>
  </rv>
  <rv s="1">
    <fb>797</fb>
    <v>14</v>
  </rv>
  <rv s="1">
    <fb>4540498</fb>
    <v>12</v>
  </rv>
  <rv s="1">
    <fb>154900</fb>
    <v>14</v>
  </rv>
  <rv s="5">
    <v>#VALUE!</v>
    <v>es-ES</v>
    <v>9e2bf053-dd80-4646-8f26-65075e7085c0</v>
    <v>536870912</v>
    <v>1</v>
    <v>142</v>
    <v>5</v>
    <v>6</v>
    <v>Carolina del Norte</v>
    <v>8</v>
    <v>9</v>
    <v>Map</v>
    <v>10</v>
    <v>11</v>
    <v>US-NC</v>
    <v>873</v>
    <v>100</v>
    <v>874</v>
    <v>875</v>
    <v>Carolina del Norte es uno de los cincuenta estados que, junto con Washington D. C., forman los Estados Unidos de América. Su capital es Raleigh y su ciudad más poblada, Charlotte. Está ubicado en la región Sur del país, división Atlántico Sur, ...</v>
    <v>876</v>
    <v>6</v>
    <v>877</v>
    <v>878</v>
    <v>879</v>
    <v>884</v>
    <v>Carolina del Norte</v>
    <v>15</v>
    <v>885</v>
    <v>886</v>
    <v>887</v>
    <v>259</v>
    <v>888</v>
    <v>375</v>
    <v>889</v>
    <v>376</v>
    <v>713</v>
    <v>165</v>
    <v>890</v>
    <v>891</v>
    <v>28</v>
    <v>892</v>
    <v>30</v>
    <v>893</v>
    <v>245</v>
    <v>634</v>
    <v>894</v>
    <v>895</v>
    <v>Carolina del Norte</v>
    <v>896</v>
    <v>mdp/vdpid/23611</v>
    <v>210</v>
  </rv>
  <rv s="0">
    <v>536870912</v>
    <v>Dakota del Norte</v>
    <v>77fbc744-3efe-4aa9-9e8e-f8034f06b941</v>
    <v>es-ES</v>
    <v>Map</v>
  </rv>
  <rv s="1">
    <fb>183108</fb>
    <v>12</v>
  </rv>
  <rv s="1">
    <fb>0.127</fb>
    <v>13</v>
  </rv>
  <rv s="0">
    <v>536870912</v>
    <v>Bismarck</v>
    <v>9fa1be97-4895-ee5c-303c-a38472229e49</v>
    <v>es-DO</v>
    <v>Map</v>
  </rv>
  <rv s="0">
    <v>536870912</v>
    <v>Fargo</v>
    <v>4886dae3-b8ea-4b19-b601-d775aa06fa2d</v>
    <v>es-DO</v>
    <v>Map</v>
  </rv>
  <rv s="1">
    <fb>299638</fb>
    <v>12</v>
  </rv>
  <rv s="3">
    <v>31</v>
    <v>10</v>
    <v>143</v>
    <v>7</v>
    <v>0</v>
    <v>Image of Dakota del Norte</v>
  </rv>
  <rv s="1">
    <fb>57181</fb>
    <v>14</v>
  </rv>
  <rv s="4">
    <v>https://www.bing.com/search?q=Dakota+del+Norte&amp;form=skydnc</v>
    <v>Aprenda más con Bing</v>
  </rv>
  <rv s="0">
    <v>805306368</v>
    <v>Kelly Armstrong (Gobernador)</v>
    <v>1df10c1e-1bed-08b3-3695-08680dca35a1</v>
    <v>es-DO</v>
    <v>Generic</v>
  </rv>
  <rv s="0">
    <v>805306368</v>
    <v>Michelle Strinden (Vicegobernador)</v>
    <v>262db778-902a-c9f8-daf4-2921d4eb468b</v>
    <v>es-DO</v>
    <v>Generic</v>
  </rv>
  <rv s="0">
    <v>805306368</v>
    <v>John Hoeven (Senado)</v>
    <v>85e5e57d-2809-2bd0-7756-27fc8ab1bbcc</v>
    <v>es-DO</v>
    <v>Generic</v>
  </rv>
  <rv s="0">
    <v>805306368</v>
    <v>Kevin Cramer (Senado)</v>
    <v>42d1db50-a889-f567-7dfe-0836dce6034c</v>
    <v>es-DO</v>
    <v>Generic</v>
  </rv>
  <rv s="2">
    <v>42</v>
  </rv>
  <rv s="1">
    <fb>3981</fb>
    <v>12</v>
  </rv>
  <rv s="1">
    <fb>2.3199999999999998</fb>
    <v>15</v>
  </rv>
  <rv s="1">
    <fb>796568</fb>
    <v>12</v>
  </rv>
  <rv s="1">
    <fb>0.69299999999999995</fb>
    <v>13</v>
  </rv>
  <rv s="1">
    <fb>0.91700000000000004</fb>
    <v>13</v>
  </rv>
  <rv s="1">
    <fb>5.5E-2</fb>
    <v>16</v>
  </rv>
  <rv s="1">
    <fb>0.27699999999999997</fb>
    <v>13</v>
  </rv>
  <rv s="1">
    <fb>7.0000000000000007E-2</fb>
    <v>13</v>
  </rv>
  <rv s="1">
    <fb>709</fb>
    <v>14</v>
  </rv>
  <rv s="1">
    <fb>368624</fb>
    <v>12</v>
  </rv>
  <rv s="1">
    <fb>153800</fb>
    <v>14</v>
  </rv>
  <rv s="2">
    <v>43</v>
  </rv>
  <rv s="5">
    <v>#VALUE!</v>
    <v>es-ES</v>
    <v>77fbc744-3efe-4aa9-9e8e-f8034f06b941</v>
    <v>536870912</v>
    <v>1</v>
    <v>146</v>
    <v>5</v>
    <v>6</v>
    <v>Dakota del Norte</v>
    <v>8</v>
    <v>9</v>
    <v>Map</v>
    <v>10</v>
    <v>11</v>
    <v>US-ND</v>
    <v>899</v>
    <v>900</v>
    <v>901</v>
    <v>902</v>
    <v>Dakota del Norte es uno de los cincuenta estados que, junto con Washington D. C., forman los Estados Unidos de América. Su capital es Bismarck y su ciudad más poblada, Fargo. Está ubicado en la región Medio Oeste del país, división Centro ...</v>
    <v>903</v>
    <v>6</v>
    <v>904</v>
    <v>905</v>
    <v>906</v>
    <v>911</v>
    <v>Dakota del Norte</v>
    <v>15</v>
    <v>912</v>
    <v>913</v>
    <v>914</v>
    <v>19</v>
    <v>816</v>
    <v>375</v>
    <v>915</v>
    <v>916</v>
    <v>33</v>
    <v>917</v>
    <v>918</v>
    <v>355</v>
    <v>919</v>
    <v>169</v>
    <v>30</v>
    <v>404</v>
    <v>137</v>
    <v>159</v>
    <v>920</v>
    <v>921</v>
    <v>Dakota del Norte</v>
    <v>922</v>
    <v>mdp/vdpid/23624</v>
    <v>923</v>
  </rv>
  <rv s="0">
    <v>536870912</v>
    <v>Ohio</v>
    <v>6f3df7da-1ef6-48e3-b2b3-b5b5fce3e846</v>
    <v>es-ES</v>
    <v>Map</v>
  </rv>
  <rv s="1">
    <fb>116096</fb>
    <v>12</v>
  </rv>
  <rv s="0">
    <v>536870912</v>
    <v>Columbus</v>
    <v>5b78da0b-6447-4f71-92b2-f1fafe94ba51</v>
    <v>es-DO</v>
    <v>Map</v>
  </rv>
  <rv s="1">
    <fb>4585084</fb>
    <v>12</v>
  </rv>
  <rv s="2">
    <v>44</v>
  </rv>
  <rv s="3">
    <v>32</v>
    <v>10</v>
    <v>147</v>
    <v>7</v>
    <v>0</v>
    <v>Image of Ohio</v>
  </rv>
  <rv s="1">
    <fb>49429</fb>
    <v>14</v>
  </rv>
  <rv s="4">
    <v>https://www.bing.com/search?q=Ohio&amp;form=skydnc</v>
    <v>Aprenda más con Bing</v>
  </rv>
  <rv s="0">
    <v>805306368</v>
    <v>Mike DeWine (Gobernador)</v>
    <v>ba3cf2bc-483c-6746-4369-a5b07e33c8ea</v>
    <v>es-DO</v>
    <v>Generic</v>
  </rv>
  <rv s="0">
    <v>805306368</v>
    <v>Jim Tressel (Vicegobernador)</v>
    <v>fea1d415-3b0b-3b02-731b-3b6f17db87c8</v>
    <v>es-DO</v>
    <v>Generic</v>
  </rv>
  <rv s="0">
    <v>805306368</v>
    <v>Bernie Moreno (Senado)</v>
    <v>a07f18b9-2c29-cef5-821d-7fce7cac2551</v>
    <v>es-DO</v>
    <v>Generic</v>
  </rv>
  <rv s="0">
    <v>805306368</v>
    <v>Jon Husted (Senado)</v>
    <v>98c16a0c-0820-d45d-b6c8-e3b9090fb0f6</v>
    <v>es-DO</v>
    <v>Generic</v>
  </rv>
  <rv s="2">
    <v>45</v>
  </rv>
  <rv s="1">
    <fb>22816</fb>
    <v>12</v>
  </rv>
  <rv s="1">
    <fb>2.46</fb>
    <v>15</v>
  </rv>
  <rv s="1">
    <fb>11883304</fb>
    <v>12</v>
  </rv>
  <rv s="1">
    <fb>0.82700000000000007</fb>
    <v>13</v>
  </rv>
  <rv s="1">
    <fb>0.26100000000000001</fb>
    <v>13</v>
  </rv>
  <rv s="1">
    <fb>0.159</fb>
    <v>13</v>
  </rv>
  <rv s="1">
    <fb>0.22600000000000001</fb>
    <v>13</v>
  </rv>
  <rv s="1">
    <fb>9.9000000000000005E-2</fb>
    <v>13</v>
  </rv>
  <rv s="1">
    <fb>730</fb>
    <v>14</v>
  </rv>
  <rv s="1">
    <fb>5164361</fb>
    <v>12</v>
  </rv>
  <rv s="1">
    <fb>129900</fb>
    <v>14</v>
  </rv>
  <rv s="5">
    <v>#VALUE!</v>
    <v>es-ES</v>
    <v>6f3df7da-1ef6-48e3-b2b3-b5b5fce3e846</v>
    <v>536870912</v>
    <v>1</v>
    <v>150</v>
    <v>5</v>
    <v>6</v>
    <v>Ohio</v>
    <v>8</v>
    <v>9</v>
    <v>Map</v>
    <v>10</v>
    <v>11</v>
    <v>US-OH</v>
    <v>926</v>
    <v>641</v>
    <v>927</v>
    <v>927</v>
    <v>Ohio es uno de los cincuenta estados que, junto con Washington D. C. forman los Estados Unidos de América. Su capital y ciudad más poblada es Columbus. Está ubicado en la región Medio Oeste del país, división Centro Noreste, limitando al ...</v>
    <v>928</v>
    <v>929</v>
    <v>930</v>
    <v>931</v>
    <v>932</v>
    <v>937</v>
    <v>Ohio</v>
    <v>15</v>
    <v>938</v>
    <v>939</v>
    <v>940</v>
    <v>375</v>
    <v>941</v>
    <v>375</v>
    <v>864</v>
    <v>735</v>
    <v>707</v>
    <v>462</v>
    <v>942</v>
    <v>943</v>
    <v>28</v>
    <v>944</v>
    <v>30</v>
    <v>900</v>
    <v>945</v>
    <v>614</v>
    <v>946</v>
    <v>947</v>
    <v>Ohio</v>
    <v>948</v>
    <v>mdp/vdpid/24230</v>
    <v>210</v>
  </rv>
  <rv s="0">
    <v>536870912</v>
    <v>Oklahoma</v>
    <v>cbcf556f-952a-4665-bb95-0500b27f9976</v>
    <v>es-ES</v>
    <v>Map</v>
  </rv>
  <rv s="1">
    <fb>181195</fb>
    <v>12</v>
  </rv>
  <rv s="0">
    <v>536870912</v>
    <v>Oklahoma City</v>
    <v>59d212a0-2f5f-4681-a7a0-a8a6e25853e1</v>
    <v>es-DO</v>
    <v>Map</v>
  </rv>
  <rv s="1">
    <fb>1455321</fb>
    <v>12</v>
  </rv>
  <rv s="2">
    <v>46</v>
  </rv>
  <rv s="3">
    <v>33</v>
    <v>10</v>
    <v>151</v>
    <v>7</v>
    <v>0</v>
    <v>Image of Oklahoma</v>
  </rv>
  <rv s="1">
    <fb>46879</fb>
    <v>14</v>
  </rv>
  <rv s="4">
    <v>https://www.bing.com/search?q=Oklahoma&amp;form=skydnc</v>
    <v>Aprenda más con Bing</v>
  </rv>
  <rv s="0">
    <v>805306368</v>
    <v>Kevin Stitt (Gobernador)</v>
    <v>50460cc8-b10e-ddcd-8554-9a0e8a8aa526</v>
    <v>es-DO</v>
    <v>Generic</v>
  </rv>
  <rv s="0">
    <v>805306368</v>
    <v>Matt Pinnell (Vicegobernador)</v>
    <v>189caae5-49b2-e53b-db23-b10a7ec5d36b</v>
    <v>es-DO</v>
    <v>Generic</v>
  </rv>
  <rv s="0">
    <v>805306368</v>
    <v>James Lankford (Senado)</v>
    <v>9bfa929f-1dbf-4884-2bbc-ecde4793ee48</v>
    <v>es-DO</v>
    <v>Generic</v>
  </rv>
  <rv s="0">
    <v>805306368</v>
    <v>Markwayne Mullin (Senado)</v>
    <v>05fad978-d35b-4dc0-b57e-e3afb8372ed3</v>
    <v>es-DO</v>
    <v>Generic</v>
  </rv>
  <rv s="2">
    <v>47</v>
  </rv>
  <rv s="1">
    <fb>12092</fb>
    <v>12</v>
  </rv>
  <rv s="1">
    <fb>4095393</fb>
    <v>12</v>
  </rv>
  <rv s="1">
    <fb>0.748</fb>
    <v>13</v>
  </rv>
  <rv s="1">
    <fb>0.61099999999999999</fb>
    <v>13</v>
  </rv>
  <rv s="1">
    <fb>9.0999999999999998E-2</fb>
    <v>16</v>
  </rv>
  <rv s="1">
    <fb>0.24600000000000002</fb>
    <v>13</v>
  </rv>
  <rv s="1">
    <fb>7.8E-2</fb>
    <v>13</v>
  </rv>
  <rv s="1">
    <fb>0.113</fb>
    <v>13</v>
  </rv>
  <rv s="1">
    <fb>727</fb>
    <v>14</v>
  </rv>
  <rv s="1">
    <fb>1721045</fb>
    <v>12</v>
  </rv>
  <rv s="1">
    <fb>117900</fb>
    <v>14</v>
  </rv>
  <rv s="2">
    <v>48</v>
  </rv>
  <rv s="5">
    <v>#VALUE!</v>
    <v>es-ES</v>
    <v>cbcf556f-952a-4665-bb95-0500b27f9976</v>
    <v>536870912</v>
    <v>1</v>
    <v>154</v>
    <v>5</v>
    <v>6</v>
    <v>Oklahoma</v>
    <v>8</v>
    <v>9</v>
    <v>Map</v>
    <v>10</v>
    <v>11</v>
    <v>US-OK</v>
    <v>951</v>
    <v>194</v>
    <v>952</v>
    <v>952</v>
    <v>Oklahoma es uno de los cincuenta estados que, junto con Washington D. C., forman los Estados Unidos. Su capital y ciudad más poblada es Oklahoma City. Está ubicado en la región Sur del país, división Centro Suroeste. Limita al norte con Kansas, ...</v>
    <v>953</v>
    <v>954</v>
    <v>955</v>
    <v>956</v>
    <v>957</v>
    <v>962</v>
    <v>Oklahoma</v>
    <v>15</v>
    <v>963</v>
    <v>192</v>
    <v>964</v>
    <v>196</v>
    <v>965</v>
    <v>28</v>
    <v>966</v>
    <v>262</v>
    <v>844</v>
    <v>967</v>
    <v>381</v>
    <v>125</v>
    <v>438</v>
    <v>968</v>
    <v>170</v>
    <v>969</v>
    <v>970</v>
    <v>605</v>
    <v>971</v>
    <v>972</v>
    <v>Oklahoma</v>
    <v>973</v>
    <v>mdp/vdpid/24293</v>
    <v>974</v>
  </rv>
  <rv s="0">
    <v>536870912</v>
    <v>Oregón</v>
    <v>cacd36fd-7c62-43e2-a632-64a2a1811933</v>
    <v>es-ES</v>
    <v>Map</v>
  </rv>
  <rv s="1">
    <fb>255026</fb>
    <v>12</v>
  </rv>
  <rv s="0">
    <v>536870912</v>
    <v>Salem</v>
    <v>181e3c46-a4b5-41c5-a74f-486f15e8dc58</v>
    <v>es-DO</v>
    <v>Map</v>
  </rv>
  <rv s="0">
    <v>536870912</v>
    <v>Portland</v>
    <v>5658ef8a-9267-4851-b335-72bc82329a4e</v>
    <v>es-DO</v>
    <v>Map</v>
  </rv>
  <rv s="1">
    <fb>1533430</fb>
    <v>12</v>
  </rv>
  <rv s="2">
    <v>49</v>
  </rv>
  <rv s="3">
    <v>34</v>
    <v>10</v>
    <v>155</v>
    <v>7</v>
    <v>0</v>
    <v>Image of Oregón</v>
  </rv>
  <rv s="1">
    <fb>51243</fb>
    <v>14</v>
  </rv>
  <rv s="4">
    <v>https://www.bing.com/search?q=Oreg%c3%b3n&amp;form=skydnc</v>
    <v>Aprenda más con Bing</v>
  </rv>
  <rv s="0">
    <v>805306368</v>
    <v>Tina Kotek (Gobernador)</v>
    <v>84ac333f-9a13-39da-fbda-a943cbce407a</v>
    <v>es-DO</v>
    <v>Generic</v>
  </rv>
  <rv s="0">
    <v>805306368</v>
    <v>Tobias Read (Secretario de Estado)</v>
    <v>d2353ea6-643d-7994-fd2e-422cdb39ef74</v>
    <v>es-DO</v>
    <v>Generic</v>
  </rv>
  <rv s="0">
    <v>805306368</v>
    <v>Ron Wyden (Senado)</v>
    <v>d0e83019-c9b2-fd5a-a7c5-a65db12029f0</v>
    <v>es-DO</v>
    <v>Generic</v>
  </rv>
  <rv s="0">
    <v>805306368</v>
    <v>Jeff Merkley (Senado)</v>
    <v>90fcbf22-b36e-14ad-e541-c9163134b536</v>
    <v>es-DO</v>
    <v>Generic</v>
  </rv>
  <rv s="2">
    <v>50</v>
  </rv>
  <rv s="1">
    <fb>19586</fb>
    <v>12</v>
  </rv>
  <rv s="1">
    <fb>2.5099999999999998</fb>
    <v>15</v>
  </rv>
  <rv s="1">
    <fb>4272371</fb>
    <v>12</v>
  </rv>
  <rv s="1">
    <fb>0.87599999999999989</fb>
    <v>13</v>
  </rv>
  <rv s="1">
    <fb>3.7000000000000005E-2</fb>
    <v>13</v>
  </rv>
  <rv s="1">
    <fb>0.621</fb>
    <v>13</v>
  </rv>
  <rv s="1">
    <fb>1.8000000000000002E-2</fb>
    <v>16</v>
  </rv>
  <rv s="1">
    <fb>0.308</fb>
    <v>13</v>
  </rv>
  <rv s="1">
    <fb>0.214</fb>
    <v>13</v>
  </rv>
  <rv s="1">
    <fb>1732786</fb>
    <v>12</v>
  </rv>
  <rv s="5">
    <v>#VALUE!</v>
    <v>es-ES</v>
    <v>cacd36fd-7c62-43e2-a632-64a2a1811933</v>
    <v>536870912</v>
    <v>1</v>
    <v>158</v>
    <v>5</v>
    <v>6</v>
    <v>Oregón</v>
    <v>8</v>
    <v>9</v>
    <v>Map</v>
    <v>10</v>
    <v>11</v>
    <v>US-OR</v>
    <v>977</v>
    <v>137</v>
    <v>978</v>
    <v>979</v>
    <v>Oregón es uno de los cincuenta estados que, junto con Washington D. C., forman los Estados Unidos de América. Su capital es Salem y su ciudad más poblada es Portland. Se ubica en la región Oeste del país, división Pacífico y limita al norte con ...</v>
    <v>980</v>
    <v>981</v>
    <v>982</v>
    <v>983</v>
    <v>984</v>
    <v>989</v>
    <v>Oregón</v>
    <v>15</v>
    <v>990</v>
    <v>991</v>
    <v>992</v>
    <v>720</v>
    <v>993</v>
    <v>994</v>
    <v>995</v>
    <v>574</v>
    <v>900</v>
    <v>996</v>
    <v>997</v>
    <v>63</v>
    <v>408</v>
    <v>998</v>
    <v>585</v>
    <v>375</v>
    <v>146</v>
    <v>945</v>
    <v>357</v>
    <v>999</v>
    <v>Oregón</v>
    <v>797</v>
    <v>mdp/vdpid/24561</v>
    <v>142</v>
  </rv>
  <rv s="0">
    <v>536870912</v>
    <v>Pensilvania</v>
    <v>6304580e-c803-4266-818a-971619176547</v>
    <v>es-ES</v>
    <v>Map</v>
  </rv>
  <rv s="1">
    <fb>119283</fb>
    <v>12</v>
  </rv>
  <rv s="0">
    <v>536870912</v>
    <v>Harrisburg</v>
    <v>c0411c8e-89cf-5f47-d2f3-d5e52d320fff</v>
    <v>es-DO</v>
    <v>Map</v>
  </rv>
  <rv s="0">
    <v>536870912</v>
    <v>Filadelfia</v>
    <v>020d4bbf-2971-4236-b87d-c3ec1d7f851c</v>
    <v>es-DO</v>
    <v>Map</v>
  </rv>
  <rv s="1">
    <fb>4958859</fb>
    <v>12</v>
  </rv>
  <rv s="3">
    <v>35</v>
    <v>10</v>
    <v>159</v>
    <v>7</v>
    <v>0</v>
    <v>Image of Pensilvania</v>
  </rv>
  <rv s="1">
    <fb>53599</fb>
    <v>14</v>
  </rv>
  <rv s="4">
    <v>https://www.bing.com/search?q=Pensilvania&amp;form=skydnc</v>
    <v>Aprenda más con Bing</v>
  </rv>
  <rv s="0">
    <v>805306368</v>
    <v>Josh Shapiro (Gobernador)</v>
    <v>53262225-ea14-3f9e-bd31-7e9b978d5e27</v>
    <v>es-DO</v>
    <v>Generic</v>
  </rv>
  <rv s="0">
    <v>805306368</v>
    <v>Austin Davis (Vicegobernador)</v>
    <v>9d043ecc-c40b-67e4-0b39-b0df6bdd7dec</v>
    <v>es-DO</v>
    <v>Generic</v>
  </rv>
  <rv s="0">
    <v>805306368</v>
    <v>John Fetterman (Senado)</v>
    <v>0def1c22-1608-cc63-a1a2-07cb8272777b</v>
    <v>es-DO</v>
    <v>Generic</v>
  </rv>
  <rv s="0">
    <v>805306368</v>
    <v>David McCormick (Senado)</v>
    <v>a00de8fd-32df-41f2-a4f1-02d9e795bc19</v>
    <v>es-DO</v>
    <v>Generic</v>
  </rv>
  <rv s="2">
    <v>51</v>
  </rv>
  <rv s="1">
    <fb>23303</fb>
    <v>12</v>
  </rv>
  <rv s="1">
    <fb>13078751</fb>
    <v>12</v>
  </rv>
  <rv s="1">
    <fb>0.82599999999999996</fb>
    <v>13</v>
  </rv>
  <rv s="1">
    <fb>0.628</fb>
    <v>13</v>
  </rv>
  <rv s="1">
    <fb>0.28600000000000003</fb>
    <v>13</v>
  </rv>
  <rv s="1">
    <fb>5.5999999999999994E-2</fb>
    <v>13</v>
  </rv>
  <rv s="1">
    <fb>0.21</fb>
    <v>13</v>
  </rv>
  <rv s="1">
    <fb>0.11699999999999999</fb>
    <v>13</v>
  </rv>
  <rv s="1">
    <fb>840</fb>
    <v>14</v>
  </rv>
  <rv s="1">
    <fb>5612002</fb>
    <v>12</v>
  </rv>
  <rv s="1">
    <fb>166000</fb>
    <v>14</v>
  </rv>
  <rv s="5">
    <v>#VALUE!</v>
    <v>es-ES</v>
    <v>6304580e-c803-4266-818a-971619176547</v>
    <v>536870912</v>
    <v>1</v>
    <v>162</v>
    <v>5</v>
    <v>6</v>
    <v>Pensilvania</v>
    <v>8</v>
    <v>9</v>
    <v>Map</v>
    <v>10</v>
    <v>11</v>
    <v>US-PA</v>
    <v>1002</v>
    <v>712</v>
    <v>1003</v>
    <v>1004</v>
    <v>Pensilvania, oficialmente Mancomunidad de Pensilvania, es uno de los cincuenta estados que, junto con Washington D. C., forman los Estados Unidos de América. Su capital es Harrisburg y su ciudad más poblada Filadelfia, famosa por ser el lugar ...</v>
    <v>1005</v>
    <v>80</v>
    <v>1006</v>
    <v>1007</v>
    <v>1008</v>
    <v>1013</v>
    <v>Pensilvania</v>
    <v>15</v>
    <v>1014</v>
    <v>627</v>
    <v>1015</v>
    <v>55</v>
    <v>1016</v>
    <v>349</v>
    <v>1017</v>
    <v>704</v>
    <v>137</v>
    <v>380</v>
    <v>1018</v>
    <v>233</v>
    <v>1019</v>
    <v>1020</v>
    <v>30</v>
    <v>1021</v>
    <v>548</v>
    <v>64</v>
    <v>1022</v>
    <v>1023</v>
    <v>Pensilvania</v>
    <v>1024</v>
    <v>mdp/vdpid/25623</v>
    <v>210</v>
  </rv>
  <rv s="0">
    <v>536870912</v>
    <v>Rhode Island</v>
    <v>65a08f52-b469-4f7c-8353-9b3c0b2a5752</v>
    <v>es-ES</v>
    <v>Map</v>
  </rv>
  <rv s="1">
    <fb>3144.2455650000002</fb>
    <v>12</v>
  </rv>
  <rv s="0">
    <v>536870912</v>
    <v>Providence</v>
    <v>956379de-1782-455c-b2d8-1ba81c8965f1</v>
    <v>es-DO</v>
    <v>Map</v>
  </rv>
  <rv s="1">
    <fb>410602</fb>
    <v>12</v>
  </rv>
  <rv s="2">
    <v>52</v>
  </rv>
  <rv s="3">
    <v>36</v>
    <v>10</v>
    <v>163</v>
    <v>7</v>
    <v>0</v>
    <v>Image of Rhode Island</v>
  </rv>
  <rv s="1">
    <fb>56852</fb>
    <v>14</v>
  </rv>
  <rv s="4">
    <v>https://www.bing.com/search?q=Rhode+Island&amp;form=skydnc</v>
    <v>Aprenda más con Bing</v>
  </rv>
  <rv s="0">
    <v>805306368</v>
    <v>Dan McKee (Gobernador)</v>
    <v>dbda6271-5323-1082-afca-f6c640e2a2a2</v>
    <v>es-DO</v>
    <v>Generic</v>
  </rv>
  <rv s="0">
    <v>805306368</v>
    <v>Sabina Matos (Vicegobernador)</v>
    <v>9b5119d4-a14a-3b55-5548-376bb727ab80</v>
    <v>es-DO</v>
    <v>Generic</v>
  </rv>
  <rv s="0">
    <v>805306368</v>
    <v>Jack Reed (Senado)</v>
    <v>402abf68-b3e4-7e09-a397-b2c9d89166ae</v>
    <v>es-DO</v>
    <v>Generic</v>
  </rv>
  <rv s="0">
    <v>805306368</v>
    <v>Sheldon Whitehouse (Senado)</v>
    <v>b0cc302b-997e-48d1-af93-bbbca84296b4</v>
    <v>es-DO</v>
    <v>Generic</v>
  </rv>
  <rv s="2">
    <v>53</v>
  </rv>
  <rv s="1">
    <fb>1226</fb>
    <v>12</v>
  </rv>
  <rv s="1">
    <fb>1112308</fb>
    <v>12</v>
  </rv>
  <rv s="1">
    <fb>0.65500000000000003</fb>
    <v>13</v>
  </rv>
  <rv s="1">
    <fb>0.86199999999999999</fb>
    <v>13</v>
  </rv>
  <rv s="1">
    <fb>0.14400000000000002</fb>
    <v>13</v>
  </rv>
  <rv s="1">
    <fb>0.31900000000000001</fb>
    <v>13</v>
  </rv>
  <rv s="1">
    <fb>0.2</fb>
    <v>13</v>
  </rv>
  <rv s="1">
    <fb>925</fb>
    <v>14</v>
  </rv>
  <rv s="1">
    <fb>462589</fb>
    <v>12</v>
  </rv>
  <rv s="1">
    <fb>238000</fb>
    <v>14</v>
  </rv>
  <rv s="5">
    <v>#VALUE!</v>
    <v>es-ES</v>
    <v>65a08f52-b469-4f7c-8353-9b3c0b2a5752</v>
    <v>536870912</v>
    <v>1</v>
    <v>166</v>
    <v>5</v>
    <v>6</v>
    <v>Rhode Island</v>
    <v>8</v>
    <v>9</v>
    <v>Map</v>
    <v>10</v>
    <v>11</v>
    <v>US-RI</v>
    <v>1027</v>
    <v>66</v>
    <v>1028</v>
    <v>1028</v>
    <v>Rhode Island es uno de los cincuenta Estados que, junto con Washington D. C., forman los Estados Unidos. Su capital y ciudad más poblada es Providence. Se encuentra ubicado en la región Noreste del país, en Nueva Inglaterra, limitando al norte ...</v>
    <v>1029</v>
    <v>1030</v>
    <v>1031</v>
    <v>1032</v>
    <v>1033</v>
    <v>1038</v>
    <v>Rhode Island</v>
    <v>15</v>
    <v>1039</v>
    <v>939</v>
    <v>1040</v>
    <v>707</v>
    <v>95</v>
    <v>788</v>
    <v>1041</v>
    <v>1042</v>
    <v>1043</v>
    <v>97</v>
    <v>1044</v>
    <v>410</v>
    <v>203</v>
    <v>1045</v>
    <v>170</v>
    <v>411</v>
    <v>747</v>
    <v>133</v>
    <v>1046</v>
    <v>1047</v>
    <v>Rhode Island</v>
    <v>1048</v>
    <v>mdp/vdpid/27664</v>
    <v>210</v>
  </rv>
  <rv s="0">
    <v>536870912</v>
    <v>Carolina del Sur</v>
    <v>810015e8-b10b-4232-9e2c-de87a67bd26e</v>
    <v>es-ES</v>
    <v>Map</v>
  </rv>
  <rv s="1">
    <fb>82931</fb>
    <v>12</v>
  </rv>
  <rv s="0">
    <v>536870912</v>
    <v>Columbia</v>
    <v>0c8f6663-0a97-4263-b3e1-3cfe0b623552</v>
    <v>es-DO</v>
    <v>Map</v>
  </rv>
  <rv s="0">
    <v>536870912</v>
    <v>Charleston</v>
    <v>cebb4aca-ea5b-40ca-99c1-dba28163d54a</v>
    <v>es-DO</v>
    <v>Map</v>
  </rv>
  <rv s="1">
    <fb>1815094</fb>
    <v>12</v>
  </rv>
  <rv s="3">
    <v>37</v>
    <v>10</v>
    <v>167</v>
    <v>7</v>
    <v>0</v>
    <v>Image of Carolina del Sur</v>
  </rv>
  <rv s="1">
    <fb>45483</fb>
    <v>14</v>
  </rv>
  <rv s="4">
    <v>https://www.bing.com/search?q=Carolina+del+Sur&amp;form=skydnc</v>
    <v>Aprenda más con Bing</v>
  </rv>
  <rv s="0">
    <v>805306368</v>
    <v>Henry McMaster (Gobernador)</v>
    <v>1ee8a17e-7bdf-e76f-f39e-5653239f88dd</v>
    <v>es-DO</v>
    <v>Generic</v>
  </rv>
  <rv s="0">
    <v>805306368</v>
    <v>Pamela Evette (Vicegobernador)</v>
    <v>1aea5f86-6de3-0add-dabd-d5ae03afe8a6</v>
    <v>es-DO</v>
    <v>Generic</v>
  </rv>
  <rv s="0">
    <v>805306368</v>
    <v>Lindsey Graham (Senado)</v>
    <v>9ba65851-7a4a-18c2-c979-0daf5d69d46b</v>
    <v>es-DO</v>
    <v>Generic</v>
  </rv>
  <rv s="0">
    <v>805306368</v>
    <v>Tim Scott (Senado)</v>
    <v>e4a3380d-becb-dbf5-bdc0-7b5993eff931</v>
    <v>es-DO</v>
    <v>Generic</v>
  </rv>
  <rv s="2">
    <v>54</v>
  </rv>
  <rv s="1">
    <fb>32165</fb>
    <v>12</v>
  </rv>
  <rv s="1">
    <fb>2.56</fb>
    <v>15</v>
  </rv>
  <rv s="1">
    <fb>5478831</fb>
    <v>12</v>
  </rv>
  <rv s="1">
    <fb>0.68400000000000005</fb>
    <v>13</v>
  </rv>
  <rv s="1">
    <fb>0.60099999999999998</fb>
    <v>13</v>
  </rv>
  <rv s="1">
    <fb>0.25800000000000001</fb>
    <v>13</v>
  </rv>
  <rv s="1">
    <fb>0.16200000000000001</fb>
    <v>13</v>
  </rv>
  <rv s="1">
    <fb>0.27600000000000002</fb>
    <v>13</v>
  </rv>
  <rv s="1">
    <fb>790</fb>
    <v>14</v>
  </rv>
  <rv s="1">
    <fb>2236153</fb>
    <v>12</v>
  </rv>
  <rv s="1">
    <fb>139900</fb>
    <v>14</v>
  </rv>
  <rv s="5">
    <v>#VALUE!</v>
    <v>es-ES</v>
    <v>810015e8-b10b-4232-9e2c-de87a67bd26e</v>
    <v>536870912</v>
    <v>1</v>
    <v>170</v>
    <v>5</v>
    <v>6</v>
    <v>Carolina del Sur</v>
    <v>8</v>
    <v>9</v>
    <v>Map</v>
    <v>10</v>
    <v>11</v>
    <v>US-SC</v>
    <v>1051</v>
    <v>740</v>
    <v>1052</v>
    <v>1053</v>
    <v>Carolina del Sur es uno de los cincuenta estados que, junto con Washington D. C., forman los Estados Unidos de América. Su capital es Columbia, y su ciudad más poblada es Charleston. Está ubicado en la región Sur del país, división Atlántico ...</v>
    <v>1054</v>
    <v>80</v>
    <v>1055</v>
    <v>1056</v>
    <v>1057</v>
    <v>1062</v>
    <v>Carolina del Sur</v>
    <v>15</v>
    <v>1063</v>
    <v>1064</v>
    <v>1065</v>
    <v>21</v>
    <v>1066</v>
    <v>406</v>
    <v>1067</v>
    <v>865</v>
    <v>347</v>
    <v>200</v>
    <v>1068</v>
    <v>1069</v>
    <v>234</v>
    <v>463</v>
    <v>30</v>
    <v>1070</v>
    <v>607</v>
    <v>67</v>
    <v>1071</v>
    <v>1072</v>
    <v>Carolina del Sur</v>
    <v>1073</v>
    <v>mdp/vdpid/31410</v>
    <v>210</v>
  </rv>
  <rv s="0">
    <v>536870912</v>
    <v>Dakota del Sur</v>
    <v>9cee0b65-d357-479e-a066-31c634648f47</v>
    <v>es-ES</v>
    <v>Map</v>
  </rv>
  <rv s="1">
    <fb>199729</fb>
    <v>12</v>
  </rv>
  <rv s="0">
    <v>536870912</v>
    <v>Pierre</v>
    <v>20a86e52-87b3-4ee4-3068-41c956ee1f18</v>
    <v>es-DO</v>
    <v>Map</v>
  </rv>
  <rv s="0">
    <v>536870912</v>
    <v>Sioux Falls</v>
    <v>d9fcdc7f-1917-4bcf-9998-253d9b343f3e</v>
    <v>es-DO</v>
    <v>Map</v>
  </rv>
  <rv s="1">
    <fb>330858</fb>
    <v>12</v>
  </rv>
  <rv s="2">
    <v>55</v>
  </rv>
  <rv s="3">
    <v>38</v>
    <v>10</v>
    <v>171</v>
    <v>7</v>
    <v>0</v>
    <v>Image of Dakota del Sur</v>
  </rv>
  <rv s="1">
    <fb>50957</fb>
    <v>14</v>
  </rv>
  <rv s="4">
    <v>https://www.bing.com/search?q=Dakota+del+Sur&amp;form=skydnc</v>
    <v>Aprenda más con Bing</v>
  </rv>
  <rv s="0">
    <v>805306368</v>
    <v>Larry Rhoden (Gobernador)</v>
    <v>3b700e60-1a5b-4b28-86a6-ec5c548d05d5</v>
    <v>es-DO</v>
    <v>Generic</v>
  </rv>
  <rv s="0">
    <v>805306368</v>
    <v>Tony Venhuizen (Vicegobernador)</v>
    <v>1eb3c0c0-1830-22c6-3234-aba2c3e30808</v>
    <v>es-DO</v>
    <v>Generic</v>
  </rv>
  <rv s="0">
    <v>805306368</v>
    <v>John Thune (Senado)</v>
    <v>566b8106-2025-dc6b-e09c-2c8ace4dfa7b</v>
    <v>es-DO</v>
    <v>Generic</v>
  </rv>
  <rv s="0">
    <v>805306368</v>
    <v>Mike Rounds (Senado)</v>
    <v>2c9f7c1d-81b4-ac7b-8e71-27c658b2ca07</v>
    <v>es-DO</v>
    <v>Generic</v>
  </rv>
  <rv s="2">
    <v>56</v>
  </rv>
  <rv s="1">
    <fb>5686</fb>
    <v>12</v>
  </rv>
  <rv s="1">
    <fb>2.4500000000000002</fb>
    <v>15</v>
  </rv>
  <rv s="1">
    <fb>924669</fb>
    <v>12</v>
  </rv>
  <rv s="1">
    <fb>0.85499999999999998</fb>
    <v>13</v>
  </rv>
  <rv s="1">
    <fb>0.68599999999999994</fb>
    <v>13</v>
  </rv>
  <rv s="1">
    <fb>0.90900000000000003</fb>
    <v>13</v>
  </rv>
  <rv s="1">
    <fb>8.900000000000001E-2</fb>
    <v>16</v>
  </rv>
  <rv s="1">
    <fb>655</fb>
    <v>14</v>
  </rv>
  <rv s="1">
    <fb>383838</fb>
    <v>12</v>
  </rv>
  <rv s="1">
    <fb>140500</fb>
    <v>14</v>
  </rv>
  <rv s="5">
    <v>#VALUE!</v>
    <v>es-ES</v>
    <v>9cee0b65-d357-479e-a066-31c634648f47</v>
    <v>536870912</v>
    <v>1</v>
    <v>174</v>
    <v>5</v>
    <v>6</v>
    <v>Dakota del Sur</v>
    <v>8</v>
    <v>9</v>
    <v>Map</v>
    <v>10</v>
    <v>11</v>
    <v>US-SD</v>
    <v>1076</v>
    <v>64</v>
    <v>1077</v>
    <v>1078</v>
    <v>Dakota del Sur es uno de los cincuenta estados que, junto con Washington D. C., forman los Estados Unidos de América. Su capital es Pierre y su ciudad más poblada Sioux Falls. El estado está ubicado en la región Medio Oeste del país, división ...</v>
    <v>1079</v>
    <v>1080</v>
    <v>1081</v>
    <v>1082</v>
    <v>1083</v>
    <v>1088</v>
    <v>Dakota del Sur</v>
    <v>15</v>
    <v>1089</v>
    <v>1090</v>
    <v>1091</v>
    <v>19</v>
    <v>1092</v>
    <v>196</v>
    <v>1093</v>
    <v>1094</v>
    <v>707</v>
    <v>1095</v>
    <v>138</v>
    <v>27</v>
    <v>205</v>
    <v>968</v>
    <v>30</v>
    <v>406</v>
    <v>41</v>
    <v>600</v>
    <v>1096</v>
    <v>1097</v>
    <v>Dakota del Sur</v>
    <v>1098</v>
    <v>mdp/vdpid/31418</v>
    <v>923</v>
  </rv>
  <rv s="0">
    <v>536870912</v>
    <v>Tennessee</v>
    <v>9bbc9c72-1bf1-4ef6-b66d-a6cdef70f4f3</v>
    <v>es-ES</v>
    <v>Map</v>
  </rv>
  <rv s="1">
    <fb>109247</fb>
    <v>12</v>
  </rv>
  <rv s="0">
    <v>536870912</v>
    <v>Nashville</v>
    <v>e2accb9d-ccea-5b7c-7bbc-0db831476d61</v>
    <v>es-DO</v>
    <v>Map</v>
  </rv>
  <rv s="1">
    <fb>2504556</fb>
    <v>12</v>
  </rv>
  <rv s="3">
    <v>39</v>
    <v>10</v>
    <v>175</v>
    <v>7</v>
    <v>0</v>
    <v>Image of Tennessee</v>
  </rv>
  <rv s="1">
    <fb>45219</fb>
    <v>14</v>
  </rv>
  <rv s="4">
    <v>https://www.bing.com/search?q=Tennessee&amp;form=skydnc</v>
    <v>Aprenda más con Bing</v>
  </rv>
  <rv s="0">
    <v>805306368</v>
    <v>Bill Lee (Gobernador)</v>
    <v>c8026be6-06ae-4f73-a92b-038dc03243c9</v>
    <v>es-DO</v>
    <v>Generic</v>
  </rv>
  <rv s="0">
    <v>805306368</v>
    <v>Randy McNally (Vicegobernador)</v>
    <v>eec243e8-886e-f143-44f8-d1a613dc6e71</v>
    <v>es-DO</v>
    <v>Generic</v>
  </rv>
  <rv s="0">
    <v>805306368</v>
    <v>Marsha Blackburn (Senado)</v>
    <v>39117d39-6448-55ce-8537-67a4fd4cf0e9</v>
    <v>es-DO</v>
    <v>Generic</v>
  </rv>
  <rv s="0">
    <v>805306368</v>
    <v>Bill Hagerty (Senado)</v>
    <v>48790b3f-20d0-51ec-537c-ca6c25fff853</v>
    <v>es-DO</v>
    <v>Generic</v>
  </rv>
  <rv s="2">
    <v>57</v>
  </rv>
  <rv s="1">
    <fb>36157</fb>
    <v>12</v>
  </rv>
  <rv s="1">
    <fb>6910840</fb>
    <v>12</v>
  </rv>
  <rv s="1">
    <fb>0.78799999999999992</fb>
    <v>13</v>
  </rv>
  <rv s="1">
    <fb>0.61</fb>
    <v>13</v>
  </rv>
  <rv s="1">
    <fb>0.249</fb>
    <v>13</v>
  </rv>
  <rv s="1">
    <fb>0.17100000000000001</fb>
    <v>13</v>
  </rv>
  <rv s="1">
    <fb>764</fb>
    <v>14</v>
  </rv>
  <rv s="1">
    <fb>2919671</fb>
    <v>12</v>
  </rv>
  <rv s="1">
    <fb>142100</fb>
    <v>14</v>
  </rv>
  <rv s="5">
    <v>#VALUE!</v>
    <v>es-ES</v>
    <v>9bbc9c72-1bf1-4ef6-b66d-a6cdef70f4f3</v>
    <v>536870912</v>
    <v>1</v>
    <v>178</v>
    <v>5</v>
    <v>6</v>
    <v>Tennessee</v>
    <v>8</v>
    <v>9</v>
    <v>Map</v>
    <v>10</v>
    <v>130</v>
    <v>US-TN</v>
    <v>1101</v>
    <v>67</v>
    <v>1102</v>
    <v>1102</v>
    <v>Tennessee es uno de los cincuenta estados que, junto con Washington D. C., forman los Estados Unidos de América. Su capital es Nashville y su ciudad más poblada, Memphis. Está ubicado en la región Sur del país, división Centro Sureste. Limita al ...</v>
    <v>1103</v>
    <v>80</v>
    <v>1104</v>
    <v>1105</v>
    <v>1106</v>
    <v>1111</v>
    <v>Tennessee</v>
    <v>15</v>
    <v>1112</v>
    <v>90</v>
    <v>1113</v>
    <v>406</v>
    <v>1114</v>
    <v>406</v>
    <v>1115</v>
    <v>1092</v>
    <v>203</v>
    <v>380</v>
    <v>1116</v>
    <v>199</v>
    <v>325</v>
    <v>29</v>
    <v>30</v>
    <v>1117</v>
    <v>575</v>
    <v>67</v>
    <v>1118</v>
    <v>1119</v>
    <v>Tennessee</v>
    <v>1120</v>
    <v>mdp/vdpid/33025</v>
    <v>271</v>
  </rv>
  <rv s="0">
    <v>536870912</v>
    <v>Texas</v>
    <v>00a23ccd-3344-461c-8b9f-c2bb55be5815</v>
    <v>es-ES</v>
    <v>Map</v>
  </rv>
  <rv s="1">
    <fb>696241</fb>
    <v>12</v>
  </rv>
  <rv s="1">
    <fb>0.10800000000000001</fb>
    <v>13</v>
  </rv>
  <rv s="0">
    <v>536870912</v>
    <v>Austin</v>
    <v>afd7d7f6-01a2-401c-bb4d-59f7e34d585c</v>
    <v>es-DO</v>
    <v>Map</v>
  </rv>
  <rv s="0">
    <v>536870912</v>
    <v>Houston</v>
    <v>ad99c262-d92e-4e88-87f7-5c66752fec36</v>
    <v>es-DO</v>
    <v>Map</v>
  </rv>
  <rv s="1">
    <fb>9149196</fb>
    <v>12</v>
  </rv>
  <rv s="3">
    <v>40</v>
    <v>10</v>
    <v>179</v>
    <v>7</v>
    <v>0</v>
    <v>Image of Texas</v>
  </rv>
  <rv s="1">
    <fb>53207</fb>
    <v>14</v>
  </rv>
  <rv s="4">
    <v>https://www.bing.com/search?q=Texas&amp;form=skydnc</v>
    <v>Aprenda más con Bing</v>
  </rv>
  <rv s="0">
    <v>805306368</v>
    <v>Greg Abbott (Gobernador)</v>
    <v>3ecc1598-f192-4041-68bd-7ee531040fb8</v>
    <v>es-DO</v>
    <v>Generic</v>
  </rv>
  <rv s="0">
    <v>805306368</v>
    <v>Dan Patrick (Vicegobernador)</v>
    <v>81fa6492-e02a-5fd9-98ea-c00f95546796</v>
    <v>es-DO</v>
    <v>Generic</v>
  </rv>
  <rv s="0">
    <v>805306368</v>
    <v>John Cornyn (Senado)</v>
    <v>ff5fa806-c9b4-2565-81e0-5b28e9202f84</v>
    <v>es-DO</v>
    <v>Generic</v>
  </rv>
  <rv s="0">
    <v>805306368</v>
    <v>Ted Cruz (Senado)</v>
    <v>aa4efb26-8956-237f-ce58-b8bea991d9d1</v>
    <v>es-DO</v>
    <v>Generic</v>
  </rv>
  <rv s="2">
    <v>58</v>
  </rv>
  <rv s="1">
    <fb>165853</fb>
    <v>12</v>
  </rv>
  <rv s="1">
    <fb>2.84</fb>
    <v>15</v>
  </rv>
  <rv s="1">
    <fb>31290831</fb>
    <v>12</v>
  </rv>
  <rv s="1">
    <fb>0.64300000000000002</fb>
    <v>13</v>
  </rv>
  <rv s="1">
    <fb>0.81900000000000006</fb>
    <v>13</v>
  </rv>
  <rv s="1">
    <fb>0.125</fb>
    <v>13</v>
  </rv>
  <rv s="1">
    <fb>8.1000000000000003E-2</fb>
    <v>13</v>
  </rv>
  <rv s="1">
    <fb>0.16600000000000001</fb>
    <v>13</v>
  </rv>
  <rv s="1">
    <fb>882</fb>
    <v>14</v>
  </rv>
  <rv s="1">
    <fb>10753629</fb>
    <v>12</v>
  </rv>
  <rv s="1">
    <fb>136000</fb>
    <v>14</v>
  </rv>
  <rv s="6">
    <v>#VALUE!</v>
    <v>es-ES</v>
    <v>00a23ccd-3344-461c-8b9f-c2bb55be5815</v>
    <v>536870912</v>
    <v>1</v>
    <v>182</v>
    <v>5</v>
    <v>37</v>
    <v>Texas</v>
    <v>8</v>
    <v>9</v>
    <v>Map</v>
    <v>10</v>
    <v>11</v>
    <v>US-TX</v>
    <v>1123</v>
    <v>1124</v>
    <v>1125</v>
    <v>1126</v>
    <v>Texas o Tejas es uno de los cincuenta estados que, junto con Washington D. C. forman los Estados Unidos. Su capital es Austin y su ciudad más poblada, Houston. Está ubicado en la región Sur del país, división Centro Suroeste. Limita, al norte ...</v>
    <v>1127</v>
    <v>1128</v>
    <v>1129</v>
    <v>1130</v>
    <v>1135</v>
    <v>Texas</v>
    <v>15</v>
    <v>1136</v>
    <v>1137</v>
    <v>1138</v>
    <v>103</v>
    <v>601</v>
    <v>349</v>
    <v>1139</v>
    <v>1140</v>
    <v>130</v>
    <v>97</v>
    <v>1070</v>
    <v>1021</v>
    <v>96</v>
    <v>843</v>
    <v>30</v>
    <v>1141</v>
    <v>1142</v>
    <v>1143</v>
    <v>1144</v>
    <v>1145</v>
    <v>Texas</v>
    <v>1146</v>
    <v>mdp/vdpid/33145</v>
    <v>37</v>
  </rv>
  <rv s="0">
    <v>536870912</v>
    <v>Utah</v>
    <v>c6705e44-d27f-4240-95a2-54e802e3b524</v>
    <v>es-ES</v>
    <v>Map</v>
  </rv>
  <rv s="1">
    <fb>219653</fb>
    <v>12</v>
  </rv>
  <rv s="0">
    <v>536870912</v>
    <v>Salt Lake City</v>
    <v>520b8048-39fe-4c55-8cbf-a52f9d8756fd</v>
    <v>es-DO</v>
    <v>Map</v>
  </rv>
  <rv s="1">
    <fb>906292</fb>
    <v>12</v>
  </rv>
  <rv s="3">
    <v>41</v>
    <v>10</v>
    <v>183</v>
    <v>7</v>
    <v>0</v>
    <v>Image of Utah</v>
  </rv>
  <rv s="1">
    <fb>60727</fb>
    <v>14</v>
  </rv>
  <rv s="4">
    <v>https://www.bing.com/search?q=Utah&amp;form=skydnc</v>
    <v>Aprenda más con Bing</v>
  </rv>
  <rv s="0">
    <v>805306368</v>
    <v>Spencer Cox (Gobernador)</v>
    <v>b8df5066-fb62-3092-d3d5-fa1d766c0409</v>
    <v>es-DO</v>
    <v>Generic</v>
  </rv>
  <rv s="0">
    <v>805306368</v>
    <v>Deidre Henderson (Vicegobernador)</v>
    <v>644c1a0f-9cad-8cd7-ecd2-aa31b63f12c0</v>
    <v>es-DO</v>
    <v>Generic</v>
  </rv>
  <rv s="0">
    <v>805306368</v>
    <v>Mike Lee (Senado)</v>
    <v>f5c85f74-0fbe-5ce1-327f-195c4ef26152</v>
    <v>es-DO</v>
    <v>Generic</v>
  </rv>
  <rv s="0">
    <v>805306368</v>
    <v>John Curtis (Senado)</v>
    <v>9fcdc54d-156a-8cde-8ee6-0614a68038b7</v>
    <v>es-DO</v>
    <v>Generic</v>
  </rv>
  <rv s="2">
    <v>59</v>
  </rv>
  <rv s="1">
    <fb>22662</fb>
    <v>12</v>
  </rv>
  <rv s="1">
    <fb>3.15</fb>
    <v>15</v>
  </rv>
  <rv s="1">
    <fb>3503613</fb>
    <v>12</v>
  </rv>
  <rv s="1">
    <fb>0.91200000000000003</fb>
    <v>13</v>
  </rv>
  <rv s="1">
    <fb>0.67700000000000005</fb>
    <v>13</v>
  </rv>
  <rv s="1">
    <fb>0.13699999999999998</fb>
    <v>13</v>
  </rv>
  <rv s="1">
    <fb>1.4999999999999999E-2</fb>
    <v>16</v>
  </rv>
  <rv s="1">
    <fb>0.311</fb>
    <v>13</v>
  </rv>
  <rv s="1">
    <fb>0.01</fb>
    <v>13</v>
  </rv>
  <rv s="1">
    <fb>1.3000000000000001E-2</fb>
    <v>13</v>
  </rv>
  <rv s="1">
    <fb>887</fb>
    <v>14</v>
  </rv>
  <rv s="1">
    <fb>1054164</fb>
    <v>12</v>
  </rv>
  <rv s="1">
    <fb>215900</fb>
    <v>14</v>
  </rv>
  <rv s="5">
    <v>#VALUE!</v>
    <v>es-ES</v>
    <v>c6705e44-d27f-4240-95a2-54e802e3b524</v>
    <v>536870912</v>
    <v>1</v>
    <v>186</v>
    <v>5</v>
    <v>6</v>
    <v>Utah</v>
    <v>8</v>
    <v>9</v>
    <v>Map</v>
    <v>10</v>
    <v>11</v>
    <v>US-UT</v>
    <v>1149</v>
    <v>683</v>
    <v>1150</v>
    <v>1150</v>
    <v>Utah es uno de los cincuenta estados que, junto con Washington D. C., forman los Estados Unidos de América. Su capital y ciudad más poblada es Salt Lake City. Está ubicado en la región Oeste del país, división Montañas Rocosas. Limita al norte ...</v>
    <v>1151</v>
    <v>6</v>
    <v>1152</v>
    <v>1153</v>
    <v>1154</v>
    <v>1159</v>
    <v>Utah</v>
    <v>15</v>
    <v>1160</v>
    <v>1161</v>
    <v>1162</v>
    <v>77</v>
    <v>1163</v>
    <v>404</v>
    <v>1164</v>
    <v>1163</v>
    <v>1165</v>
    <v>1166</v>
    <v>1167</v>
    <v>607</v>
    <v>41</v>
    <v>551</v>
    <v>1168</v>
    <v>1169</v>
    <v>571</v>
    <v>41</v>
    <v>1170</v>
    <v>1171</v>
    <v>Utah</v>
    <v>1172</v>
    <v>mdp/vdpid/34626</v>
    <v>73</v>
  </rv>
  <rv s="0">
    <v>536870912</v>
    <v>Vermont</v>
    <v>221864cc-447e-4e78-847c-59e485d73bff</v>
    <v>es-ES</v>
    <v>Map</v>
  </rv>
  <rv s="1">
    <fb>24923</fb>
    <v>12</v>
  </rv>
  <rv s="0">
    <v>536870912</v>
    <v>Montpelier</v>
    <v>6a01399d-d09a-4bda-4500-012bb3271e9d</v>
    <v>es-DO</v>
    <v>Map</v>
  </rv>
  <rv s="0">
    <v>536870912</v>
    <v>Burlington</v>
    <v>eebf9ffb-0254-aae7-1bdd-23d4e654a053</v>
    <v>es-DO</v>
    <v>Map</v>
  </rv>
  <rv s="1">
    <fb>257167</fb>
    <v>12</v>
  </rv>
  <rv s="3">
    <v>42</v>
    <v>10</v>
    <v>187</v>
    <v>7</v>
    <v>0</v>
    <v>Image of Vermont</v>
  </rv>
  <rv s="1">
    <fb>55176</fb>
    <v>14</v>
  </rv>
  <rv s="4">
    <v>https://www.bing.com/search?q=Vermont&amp;form=skydnc</v>
    <v>Aprenda más con Bing</v>
  </rv>
  <rv s="0">
    <v>805306368</v>
    <v>Phil Scott (Gobernador)</v>
    <v>f903a590-d3d7-9d9c-6429-b38ae1a17c71</v>
    <v>es-DO</v>
    <v>Generic</v>
  </rv>
  <rv s="0">
    <v>805306368</v>
    <v>John S. Rodgers (Vicegobernador)</v>
    <v>0f4d7c62-fed7-b470-0abd-dced794f3bca</v>
    <v>es-DO</v>
    <v>Generic</v>
  </rv>
  <rv s="0">
    <v>805306368</v>
    <v>Bernie Sanders (Senado)</v>
    <v>d1b180da-aff9-59f7-887e-85784c68fe0c</v>
    <v>es-DO</v>
    <v>Generic</v>
  </rv>
  <rv s="0">
    <v>805306368</v>
    <v>Peter Welch (Senado)</v>
    <v>30280e22-a5a0-57c8-a708-8fbde585185c</v>
    <v>es-DO</v>
    <v>Generic</v>
  </rv>
  <rv s="2">
    <v>60</v>
  </rv>
  <rv s="1">
    <fb>1771</fb>
    <v>12</v>
  </rv>
  <rv s="1">
    <fb>648493</fb>
    <v>12</v>
  </rv>
  <rv s="1">
    <fb>0.94799999999999995</fb>
    <v>13</v>
  </rv>
  <rv s="1">
    <fb>0.66599999999999993</fb>
    <v>13</v>
  </rv>
  <rv s="1">
    <fb>0.36</fb>
    <v>13</v>
  </rv>
  <rv s="1">
    <fb>0.1</fb>
    <v>13</v>
  </rv>
  <rv s="1">
    <fb>4.2999999999999997E-2</fb>
    <v>13</v>
  </rv>
  <rv s="1">
    <fb>895</fb>
    <v>14</v>
  </rv>
  <rv s="1">
    <fb>329525</fb>
    <v>12</v>
  </rv>
  <rv s="1">
    <fb>217500</fb>
    <v>14</v>
  </rv>
  <rv s="7">
    <v>#VALUE!</v>
    <v>es-ES</v>
    <v>221864cc-447e-4e78-847c-59e485d73bff</v>
    <v>536870912</v>
    <v>1</v>
    <v>190</v>
    <v>82</v>
    <v>83</v>
    <v>Vermont</v>
    <v>8</v>
    <v>9</v>
    <v>Map</v>
    <v>10</v>
    <v>84</v>
    <v>US-VT</v>
    <v>1175</v>
    <v>333</v>
    <v>1176</v>
    <v>1177</v>
    <v>Vermont es uno de los cincuenta estados que, junto con el distrito federal de Washington D. C., forman los Estados Unidos de América. Su capital es Montpelier y su ciudad más poblada, Burlington. Está ubicado en la región Noreste del país, ...</v>
    <v>1178</v>
    <v>1179</v>
    <v>1180</v>
    <v>1181</v>
    <v>1186</v>
    <v>Vermont</v>
    <v>15</v>
    <v>1187</v>
    <v>515</v>
    <v>1188</v>
    <v>21</v>
    <v>1189</v>
    <v>349</v>
    <v>1190</v>
    <v>405</v>
    <v>406</v>
    <v>380</v>
    <v>1191</v>
    <v>867</v>
    <v>523</v>
    <v>768</v>
    <v>1169</v>
    <v>1192</v>
    <v>1193</v>
    <v>1194</v>
    <v>1195</v>
    <v>Vermont</v>
    <v>1196</v>
    <v>mdp/vdpid/35022</v>
    <v>210</v>
  </rv>
  <rv s="0">
    <v>536870912</v>
    <v>Virginia</v>
    <v>7eee9976-e8a7-472c-ada1-007208abd678</v>
    <v>es-ES</v>
    <v>Map</v>
  </rv>
  <rv s="1">
    <fb>110862</fb>
    <v>12</v>
  </rv>
  <rv s="1">
    <fb>5.0999999999999997E-2</fb>
    <v>13</v>
  </rv>
  <rv s="0">
    <v>536870912</v>
    <v>Richmond</v>
    <v>59263810-6a82-4930-943c-1fa0693b17b0</v>
    <v>es-DO</v>
    <v>Map</v>
  </rv>
  <rv s="0">
    <v>536870912</v>
    <v>Virginia Beach</v>
    <v>6f1fd4dd-40ef-4ec3-989c-108c9b444996</v>
    <v>es-DO</v>
    <v>Map</v>
  </rv>
  <rv s="1">
    <fb>3062783</fb>
    <v>12</v>
  </rv>
  <rv s="3">
    <v>43</v>
    <v>10</v>
    <v>191</v>
    <v>7</v>
    <v>0</v>
    <v>Image of Virginia</v>
  </rv>
  <rv s="1">
    <fb>65015</fb>
    <v>14</v>
  </rv>
  <rv s="4">
    <v>https://www.bing.com/search?q=Virginia&amp;form=skydnc</v>
    <v>Aprenda más con Bing</v>
  </rv>
  <rv s="0">
    <v>805306368</v>
    <v>Glenn Youngkin (Gobernador)</v>
    <v>b2cd9b8a-2e1b-ec73-3904-5c2f449bdf27</v>
    <v>es-DO</v>
    <v>Generic</v>
  </rv>
  <rv s="0">
    <v>805306368</v>
    <v>Winsome Sears (Vicegobernador)</v>
    <v>a590d049-99df-2c4d-8b48-583d259e49b9</v>
    <v>es-DO</v>
    <v>Generic</v>
  </rv>
  <rv s="0">
    <v>805306368</v>
    <v>Mark Warner (Senado)</v>
    <v>bafe4c69-4773-f0a1-de77-fad6715b4e46</v>
    <v>es-DO</v>
    <v>Generic</v>
  </rv>
  <rv s="0">
    <v>805306368</v>
    <v>Tim Kaine (Senado)</v>
    <v>9aab4faa-6ba2-9199-1171-b656b550d012</v>
    <v>es-DO</v>
    <v>Generic</v>
  </rv>
  <rv s="2">
    <v>61</v>
  </rv>
  <rv s="1">
    <fb>31132</fb>
    <v>12</v>
  </rv>
  <rv s="1">
    <fb>8811195</fb>
    <v>12</v>
  </rv>
  <rv s="1">
    <fb>0.70200000000000007</fb>
    <v>13</v>
  </rv>
  <rv s="1">
    <fb>0.64700000000000002</fb>
    <v>13</v>
  </rv>
  <rv s="1">
    <fb>0.88300000000000001</fb>
    <v>13</v>
  </rv>
  <rv s="1">
    <fb>0.36299999999999999</fb>
    <v>13</v>
  </rv>
  <rv s="1">
    <fb>1116</fb>
    <v>14</v>
  </rv>
  <rv s="1">
    <fb>3491054</fb>
    <v>12</v>
  </rv>
  <rv s="1">
    <fb>245000</fb>
    <v>14</v>
  </rv>
  <rv s="5">
    <v>#VALUE!</v>
    <v>es-ES</v>
    <v>7eee9976-e8a7-472c-ada1-007208abd678</v>
    <v>536870912</v>
    <v>1</v>
    <v>194</v>
    <v>5</v>
    <v>6</v>
    <v>Virginia</v>
    <v>8</v>
    <v>9</v>
    <v>Map</v>
    <v>10</v>
    <v>11</v>
    <v>US-VA</v>
    <v>1199</v>
    <v>1200</v>
    <v>1201</v>
    <v>1202</v>
    <v>Virginia, oficialmente Mancomunidad de Virginia, es uno de los cincuenta estados que, junto con Washington D. C., forman los Estados Unidos de América. Su capital es Richmond y su ciudad más poblada, Virginia Beach.</v>
    <v>1203</v>
    <v>6</v>
    <v>1204</v>
    <v>1205</v>
    <v>1206</v>
    <v>1211</v>
    <v>Virginia</v>
    <v>15</v>
    <v>1212</v>
    <v>226</v>
    <v>1213</v>
    <v>136</v>
    <v>1214</v>
    <v>161</v>
    <v>1215</v>
    <v>1216</v>
    <v>231</v>
    <v>200</v>
    <v>1217</v>
    <v>355</v>
    <v>325</v>
    <v>463</v>
    <v>30</v>
    <v>268</v>
    <v>634</v>
    <v>1021</v>
    <v>1218</v>
    <v>1219</v>
    <v>Virginia</v>
    <v>1220</v>
    <v>mdp/vdpid/35364</v>
    <v>210</v>
  </rv>
  <rv s="0">
    <v>536870912</v>
    <v>Washington</v>
    <v>982ad551-fd5d-45df-bd70-bf704dd576e4</v>
    <v>es-ES</v>
    <v>Map</v>
  </rv>
  <rv s="1">
    <fb>184827</fb>
    <v>12</v>
  </rv>
  <rv s="0">
    <v>536870912</v>
    <v>Olympia</v>
    <v>25db44e7-f2cd-390a-3d28-310cf208511a</v>
    <v>es-DO</v>
    <v>Map</v>
  </rv>
  <rv s="0">
    <v>536870912</v>
    <v>Seattle</v>
    <v>5fbba6b8-85e1-4d41-9444-d9055436e473</v>
    <v>es-DO</v>
    <v>Map</v>
  </rv>
  <rv s="1">
    <fb>2668912</fb>
    <v>12</v>
  </rv>
  <rv s="3">
    <v>44</v>
    <v>10</v>
    <v>195</v>
    <v>7</v>
    <v>0</v>
    <v>Image of Washington</v>
  </rv>
  <rv s="1">
    <fb>61062</fb>
    <v>14</v>
  </rv>
  <rv s="4">
    <v>https://www.bing.com/search?q=Washington+estado&amp;form=skydnc</v>
    <v>Aprenda más con Bing</v>
  </rv>
  <rv s="0">
    <v>805306368</v>
    <v>Jay Inslee (Gobernador)</v>
    <v>5e694b9e-05cf-64fc-d3b6-fb4e84e5137f</v>
    <v>es-DO</v>
    <v>Generic</v>
  </rv>
  <rv s="0">
    <v>805306368</v>
    <v>Dennis Heck (Vicegobernador)</v>
    <v>6546aa9c-5751-8959-d6c9-87392e9c5388</v>
    <v>es-DO</v>
    <v>Generic</v>
  </rv>
  <rv s="2">
    <v>62</v>
  </rv>
  <rv s="1">
    <fb>44077</fb>
    <v>12</v>
  </rv>
  <rv s="1">
    <fb>7705281</fb>
    <v>12</v>
  </rv>
  <rv s="1">
    <fb>0.80299999999999994</fb>
    <v>13</v>
  </rv>
  <rv s="1">
    <fb>0.63500000000000001</fb>
    <v>13</v>
  </rv>
  <rv s="1">
    <fb>0.90400000000000003</fb>
    <v>13</v>
  </rv>
  <rv s="1">
    <fb>0.124</fb>
    <v>13</v>
  </rv>
  <rv s="1">
    <fb>1.9E-2</fb>
    <v>16</v>
  </rv>
  <rv s="1">
    <fb>0.32899999999999996</fb>
    <v>13</v>
  </rv>
  <rv s="1">
    <fb>0.13400000000000001</fb>
    <v>13</v>
  </rv>
  <rv s="1">
    <fb>1014</fb>
    <v>14</v>
  </rv>
  <rv s="1">
    <fb>3025685</fb>
    <v>12</v>
  </rv>
  <rv s="1">
    <fb>259500</fb>
    <v>14</v>
  </rv>
  <rv s="6">
    <v>#VALUE!</v>
    <v>es-ES</v>
    <v>982ad551-fd5d-45df-bd70-bf704dd576e4</v>
    <v>536870912</v>
    <v>1</v>
    <v>198</v>
    <v>5</v>
    <v>37</v>
    <v>Washington</v>
    <v>8</v>
    <v>9</v>
    <v>Map</v>
    <v>10</v>
    <v>130</v>
    <v>US-WA</v>
    <v>1223</v>
    <v>41</v>
    <v>1224</v>
    <v>1225</v>
    <v>Washington, también llamado estado de Washington para diferenciarlo de Washington D. C., es uno de los cincuenta estados que, junto con el Distrito de Columbia, forman los Estados Unidos. Su capital es Olympia y su ciudad más poblada, Seattle. ...</v>
    <v>1226</v>
    <v>1227</v>
    <v>1228</v>
    <v>1229</v>
    <v>1232</v>
    <v>Washington</v>
    <v>15</v>
    <v>1233</v>
    <v>1064</v>
    <v>1234</v>
    <v>41</v>
    <v>1235</v>
    <v>194</v>
    <v>1236</v>
    <v>1237</v>
    <v>1238</v>
    <v>1239</v>
    <v>1240</v>
    <v>1043</v>
    <v>168</v>
    <v>495</v>
    <v>641</v>
    <v>614</v>
    <v>747</v>
    <v>1241</v>
    <v>1242</v>
    <v>1243</v>
    <v>Washington</v>
    <v>1244</v>
    <v>mdp/vdpid/35841</v>
    <v>329</v>
  </rv>
  <rv s="0">
    <v>536870912</v>
    <v>Virginia Occidental</v>
    <v>8a47255a-fae3-4faa-aa32-c6f384cb6c1d</v>
    <v>es-ES</v>
    <v>Map</v>
  </rv>
  <rv s="1">
    <fb>62755</fb>
    <v>12</v>
  </rv>
  <rv s="1">
    <fb>-1.2E-2</fb>
    <v>13</v>
  </rv>
  <rv s="0">
    <v>536870912</v>
    <v>Charleston</v>
    <v>e9487e3f-6b62-88d0-8aff-0d14079dbb05</v>
    <v>es-DO</v>
    <v>Map</v>
  </rv>
  <rv s="1">
    <fb>740890</fb>
    <v>12</v>
  </rv>
  <rv s="2">
    <v>63</v>
  </rv>
  <rv s="3">
    <v>45</v>
    <v>10</v>
    <v>199</v>
    <v>7</v>
    <v>0</v>
    <v>Image of Virginia Occidental</v>
  </rv>
  <rv s="1">
    <fb>41751</fb>
    <v>14</v>
  </rv>
  <rv s="4">
    <v>https://www.bing.com/search?q=Virginia+Occidental&amp;form=skydnc</v>
    <v>Aprenda más con Bing</v>
  </rv>
  <rv s="0">
    <v>805306368</v>
    <v>Patrick Morrisey (Gobernador)</v>
    <v>33e5019c-35be-4b49-ba21-4e012d31811a</v>
    <v>es-DO</v>
    <v>Generic</v>
  </rv>
  <rv s="0">
    <v>805306368</v>
    <v>Randy Smith (Vicegobernador)</v>
    <v>26857624-61e8-8ece-4d5f-2a8967aabaf9</v>
    <v>es-DO</v>
    <v>Generic</v>
  </rv>
  <rv s="0">
    <v>805306368</v>
    <v>Shelley Moore Capito (Senado)</v>
    <v>af8c2cb8-7810-5277-3d3d-2d8b7c039cc1</v>
    <v>es-DO</v>
    <v>Generic</v>
  </rv>
  <rv s="0">
    <v>805306368</v>
    <v>Jim Justice (Senado)</v>
    <v>2e8ffe6c-9001-f6f2-0d5c-92e758adb7f5</v>
    <v>es-DO</v>
    <v>Generic</v>
  </rv>
  <rv s="2">
    <v>64</v>
  </rv>
  <rv s="1">
    <fb>2544</fb>
    <v>12</v>
  </rv>
  <rv s="1">
    <fb>2.4300000000000002</fb>
    <v>15</v>
  </rv>
  <rv s="1">
    <fb>1769979</fb>
    <v>12</v>
  </rv>
  <rv s="1">
    <fb>0.93599999999999994</fb>
    <v>13</v>
  </rv>
  <rv s="1">
    <fb>0.53900000000000003</fb>
    <v>13</v>
  </rv>
  <rv s="1">
    <fb>0.85</fb>
    <v>13</v>
  </rv>
  <rv s="1">
    <fb>2E-3</fb>
    <v>16</v>
  </rv>
  <rv s="1">
    <fb>0.182</fb>
    <v>13</v>
  </rv>
  <rv s="1">
    <fb>0.20600000000000002</fb>
    <v>13</v>
  </rv>
  <rv s="1">
    <fb>643</fb>
    <v>14</v>
  </rv>
  <rv s="1">
    <fb>886640</fb>
    <v>12</v>
  </rv>
  <rv s="1">
    <fb>103800</fb>
    <v>14</v>
  </rv>
  <rv s="8">
    <v>#VALUE!</v>
    <v>es-ES</v>
    <v>8a47255a-fae3-4faa-aa32-c6f384cb6c1d</v>
    <v>536870912</v>
    <v>1</v>
    <v>202</v>
    <v>82</v>
    <v>125</v>
    <v>Virginia Occidental</v>
    <v>8</v>
    <v>9</v>
    <v>Map</v>
    <v>10</v>
    <v>84</v>
    <v>US-WV</v>
    <v>1247</v>
    <v>1248</v>
    <v>1249</v>
    <v>1249</v>
    <v>Virginia Occidental es uno de los cincuenta estados que, junto con Washington D. C., forman los Estados Unidos de América. Su capital y ciudad más poblada es Charleston. Está ubicado en la región Sur del país, división Atlántico Sur, limitando ...</v>
    <v>1250</v>
    <v>1251</v>
    <v>1252</v>
    <v>1253</v>
    <v>1254</v>
    <v>1259</v>
    <v>Virginia Occidental</v>
    <v>15</v>
    <v>1260</v>
    <v>1261</v>
    <v>1262</v>
    <v>324</v>
    <v>1263</v>
    <v>21</v>
    <v>1264</v>
    <v>1265</v>
    <v>316</v>
    <v>1266</v>
    <v>768</v>
    <v>1267</v>
    <v>1019</v>
    <v>1268</v>
    <v>707</v>
    <v>1043</v>
    <v>316</v>
    <v>1269</v>
    <v>1270</v>
    <v>Virginia Occidental</v>
    <v>1271</v>
    <v>mdp/vdpid/36208</v>
    <v>210</v>
  </rv>
  <rv s="0">
    <v>536870912</v>
    <v>Wisconsin</v>
    <v>cb4d2853-06f4-4467-8e7c-4e31cbb35cb2</v>
    <v>es-ES</v>
    <v>Map</v>
  </rv>
  <rv s="1">
    <fb>169640</fb>
    <v>12</v>
  </rv>
  <rv s="0">
    <v>536870912</v>
    <v>Madison</v>
    <v>65426cc9-93eb-4569-8c2e-3b7c1b070278</v>
    <v>es-DO</v>
    <v>Map</v>
  </rv>
  <rv s="0">
    <v>536870912</v>
    <v>Milwaukee</v>
    <v>9fdb4bdb-6dd4-4dd1-9159-1e8abc73ab65</v>
    <v>es-DO</v>
    <v>Map</v>
  </rv>
  <rv s="1">
    <fb>2299107</fb>
    <v>12</v>
  </rv>
  <rv s="3">
    <v>46</v>
    <v>10</v>
    <v>203</v>
    <v>7</v>
    <v>0</v>
    <v>Image of Wisconsin</v>
  </rv>
  <rv s="1">
    <fb>53357</fb>
    <v>14</v>
  </rv>
  <rv s="4">
    <v>https://www.bing.com/search?q=Wisconsin&amp;form=skydnc</v>
    <v>Aprenda más con Bing</v>
  </rv>
  <rv s="0">
    <v>805306368</v>
    <v>Tony Evers (Gobernador)</v>
    <v>a4d4fdcd-e9ac-4b23-8636-43a292c35b66</v>
    <v>es-DO</v>
    <v>Generic</v>
  </rv>
  <rv s="0">
    <v>805306368</v>
    <v>Sara Rodriguez (Vicegobernador)</v>
    <v>4d4d413b-6899-5243-5ea1-275db9b91d6a</v>
    <v>es-DO</v>
    <v>Generic</v>
  </rv>
  <rv s="0">
    <v>805306368</v>
    <v>Ron Johnson (Senado)</v>
    <v>9451b73e-ab4e-c84d-6362-8ff17c286608</v>
    <v>es-DO</v>
    <v>Generic</v>
  </rv>
  <rv s="0">
    <v>805306368</v>
    <v>Tammy Baldwin (Senado)</v>
    <v>df4c81b2-fcc2-4576-db39-5b0b27c09625</v>
    <v>es-DO</v>
    <v>Generic</v>
  </rv>
  <rv s="2">
    <v>65</v>
  </rv>
  <rv s="1">
    <fb>19274</fb>
    <v>12</v>
  </rv>
  <rv s="1">
    <fb>5960975</fb>
    <v>12</v>
  </rv>
  <rv s="1">
    <fb>0.67099999999999993</fb>
    <v>13</v>
  </rv>
  <rv s="1">
    <fb>0.91</fb>
    <v>13</v>
  </rv>
  <rv s="1">
    <fb>1.1000000000000001E-2</fb>
    <v>16</v>
  </rv>
  <rv s="1">
    <fb>0.27800000000000002</fb>
    <v>13</v>
  </rv>
  <rv s="1">
    <fb>0.156</fb>
    <v>13</v>
  </rv>
  <rv s="1">
    <fb>776</fb>
    <v>14</v>
  </rv>
  <rv s="1">
    <fb>2668444</fb>
    <v>12</v>
  </rv>
  <rv s="1">
    <fb>165800</fb>
    <v>14</v>
  </rv>
  <rv s="6">
    <v>#VALUE!</v>
    <v>es-ES</v>
    <v>cb4d2853-06f4-4467-8e7c-4e31cbb35cb2</v>
    <v>536870912</v>
    <v>1</v>
    <v>206</v>
    <v>5</v>
    <v>37</v>
    <v>Wisconsin</v>
    <v>8</v>
    <v>9</v>
    <v>Map</v>
    <v>10</v>
    <v>11</v>
    <v>US-WI</v>
    <v>1274</v>
    <v>21</v>
    <v>1275</v>
    <v>1276</v>
    <v>Wisconsin es uno de los cincuenta estados que, junto con Washington D. C., forman los Estados Unidos de América. Su capital es Madison y su ciudad más poblada, Milwaukee. Se ubica en la región del Medio Oeste del país, división Centro Noreste, ...</v>
    <v>1277</v>
    <v>1278</v>
    <v>1279</v>
    <v>1280</v>
    <v>1285</v>
    <v>Wisconsin</v>
    <v>15</v>
    <v>1286</v>
    <v>1261</v>
    <v>1287</v>
    <v>259</v>
    <v>993</v>
    <v>406</v>
    <v>1288</v>
    <v>1289</v>
    <v>571</v>
    <v>1290</v>
    <v>1291</v>
    <v>1292</v>
    <v>234</v>
    <v>236</v>
    <v>30</v>
    <v>571</v>
    <v>68</v>
    <v>67</v>
    <v>1293</v>
    <v>1294</v>
    <v>Wisconsin</v>
    <v>1295</v>
    <v>mdp/vdpid/36684</v>
    <v>37</v>
  </rv>
  <rv s="0">
    <v>536870912</v>
    <v>Wyoming</v>
    <v>bff03ad6-2b7f-400b-a76e-eb9fc4a93961</v>
    <v>es-ES</v>
    <v>Map</v>
  </rv>
  <rv s="1">
    <fb>253348</fb>
    <v>12</v>
  </rv>
  <rv s="0">
    <v>536870912</v>
    <v>Cheyenne</v>
    <v>a690e71a-6bc8-a8dc-34d2-c7f6e8026d21</v>
    <v>es-DO</v>
    <v>Map</v>
  </rv>
  <rv s="1">
    <fb>226865</fb>
    <v>12</v>
  </rv>
  <rv s="3">
    <v>47</v>
    <v>10</v>
    <v>207</v>
    <v>7</v>
    <v>0</v>
    <v>Image of Wyoming</v>
  </rv>
  <rv s="1">
    <fb>58840</fb>
    <v>14</v>
  </rv>
  <rv s="4">
    <v>https://www.bing.com/search?q=Wyoming&amp;form=skydnc</v>
    <v>Aprenda más con Bing</v>
  </rv>
  <rv s="0">
    <v>805306368</v>
    <v>Mark Gordon (Gobernador)</v>
    <v>608fad8b-da2e-4675-9119-fd8812a3b598</v>
    <v>es-DO</v>
    <v>Generic</v>
  </rv>
  <rv s="0">
    <v>805306368</v>
    <v>Chuck Gray (Secretario de Estado)</v>
    <v>3e3dd1e8-bff1-ea6b-4644-e56072599e5e</v>
    <v>es-DO</v>
    <v>Generic</v>
  </rv>
  <rv s="0">
    <v>805306368</v>
    <v>John Barrasso (Senado)</v>
    <v>35470032-ac83-8e85-8ac5-c147fe3eb100</v>
    <v>es-DO</v>
    <v>Generic</v>
  </rv>
  <rv s="0">
    <v>805306368</v>
    <v>Cynthia Lummis (Senado)</v>
    <v>d87d90f3-1f0b-aed1-5bcf-260c1bca1aea</v>
    <v>es-DO</v>
    <v>Generic</v>
  </rv>
  <rv s="2">
    <v>66</v>
  </rv>
  <rv s="1">
    <fb>1727</fb>
    <v>12</v>
  </rv>
  <rv s="1">
    <fb>587618</fb>
    <v>12</v>
  </rv>
  <rv s="1">
    <fb>0.92700000000000005</fb>
    <v>13</v>
  </rv>
  <rv s="1">
    <fb>2.7000000000000003E-2</fb>
    <v>16</v>
  </rv>
  <rv s="1">
    <fb>0.25700000000000001</fb>
    <v>13</v>
  </rv>
  <rv s="1">
    <fb>789</fb>
    <v>14</v>
  </rv>
  <rv s="1">
    <fb>270600</fb>
    <v>12</v>
  </rv>
  <rv s="1">
    <fb>194800</fb>
    <v>14</v>
  </rv>
  <rv s="5">
    <v>#VALUE!</v>
    <v>es-ES</v>
    <v>bff03ad6-2b7f-400b-a76e-eb9fc4a93961</v>
    <v>536870912</v>
    <v>1</v>
    <v>210</v>
    <v>5</v>
    <v>6</v>
    <v>Wyoming</v>
    <v>8</v>
    <v>9</v>
    <v>Map</v>
    <v>10</v>
    <v>11</v>
    <v>US-WY</v>
    <v>1298</v>
    <v>228</v>
    <v>1299</v>
    <v>1299</v>
    <v>Wyoming es uno de los cincuenta estados que, junto con Washington D. C., forman los Estados Unidos. Su capital y ciudad más poblada es Cheyenne. Está ubicado en la región Oeste del país, en el sector de las Montañas Rocosas, limitando al norte ...</v>
    <v>1300</v>
    <v>80</v>
    <v>1301</v>
    <v>1302</v>
    <v>1303</v>
    <v>1308</v>
    <v>Wyoming</v>
    <v>15</v>
    <v>1309</v>
    <v>627</v>
    <v>1310</v>
    <v>1168</v>
    <v>1311</v>
    <v>375</v>
    <v>1164</v>
    <v>791</v>
    <v>945</v>
    <v>1312</v>
    <v>1313</v>
    <v>552</v>
    <v>571</v>
    <v>101</v>
    <v>30</v>
    <v>19</v>
    <v>237</v>
    <v>707</v>
    <v>1314</v>
    <v>1315</v>
    <v>Wyoming</v>
    <v>1316</v>
    <v>mdp/vdpid/36927</v>
    <v>73</v>
  </rv>
</rvData>
</file>

<file path=xl/richData/rdrichvaluestructure.xml><?xml version="1.0" encoding="utf-8"?>
<rvStructures xmlns="http://schemas.microsoft.com/office/spreadsheetml/2017/richdata" count="9">
  <s t="_linkedentity2">
    <k n="%EntityServiceId" t="i"/>
    <k n="_DisplayString" t="s"/>
    <k n="%EntityId" t="s"/>
    <k n="%EntityCulture" t="s"/>
    <k n="_Icon" t="s"/>
  </s>
  <s t="_formattednumber">
    <k n="_Format" t="spb"/>
  </s>
  <s t="_array">
    <k n="array" t="a"/>
  </s>
  <s t="_webimage">
    <k n="WebImageIdentifier" t="i"/>
    <k n="_Provider" t="spb"/>
    <k n="Attribution" t="spb"/>
    <k n="CalcOrigin" t="i"/>
    <k n="ComputedImage" t="b"/>
    <k n="Text" t="s"/>
  </s>
  <s t="_hyperlink">
    <k n="Address" t="s"/>
    <k n="Text"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reviatura" t="s"/>
    <k n="`Área" t="r"/>
    <k n="Cambio en la población (%)" t="r"/>
    <k n="Capital/ciudad principal" t="r"/>
    <k n="Ciudad más grande" t="r"/>
    <k n="Descripción" t="s"/>
    <k n="Hogares" t="r"/>
    <k n="Idioma oficial" t="r"/>
    <k n="Imagen" t="r"/>
    <k n="Ingresos medios del hogar" t="r"/>
    <k n="LearnMoreOnLink" t="r"/>
    <k n="Líder(es)" t="r"/>
    <k n="Nombre" t="s"/>
    <k n="País o región" t="r"/>
    <k n="Permisos de construcción" t="r"/>
    <k n="Personas por hogar" t="r"/>
    <k n="Población" t="r"/>
    <k n="Población: asiática (%)" t="r"/>
    <k n="Población: blanca (%)" t="r"/>
    <k n="Población: dos o más etnicidades (%)" t="r"/>
    <k n="Población: en la fuerza laboral civil (%)" t="r"/>
    <k n="Población: graduado en secundaria o superior (%)" t="r"/>
    <k n="Población: hispana o latina (%)" t="r"/>
    <k n="Población: indio americano y nativo de Alaska (%)" t="r"/>
    <k n="Población: licenciatura o superior (%)" t="r"/>
    <k n="Población: más de 65 años (%)" t="r"/>
    <k n="Población: menor de 5 años (%)" t="r"/>
    <k n="Población: menores de 18 años (%)" t="r"/>
    <k n="Población: nativa de Hawái y otras islas del Pacífico (%)" t="r"/>
    <k n="Población: negra o afroamericana (%)" t="r"/>
    <k n="Población: personas con discapacidad (%)" t="r"/>
    <k n="Población: personas nacidas en el extranjero (%)" t="r"/>
    <k n="Renta mediana en bruto" t="r"/>
    <k n="Unidades de vivienda" t="r"/>
    <k n="UniqueName" t="s"/>
    <k n="Valor medio, unidades de vivienda ocupadas por propietario" t="r"/>
    <k n="VDPID/VSID" t="s"/>
    <k n="Zona(s) horaria(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reviatura" t="s"/>
    <k n="`Área" t="r"/>
    <k n="Cambio en la población (%)" t="r"/>
    <k n="Capital/ciudad principal" t="r"/>
    <k n="Ciudad más grande" t="r"/>
    <k n="Descripción" t="s"/>
    <k n="Hogares" t="r"/>
    <k n="Imagen" t="r"/>
    <k n="Ingresos medios del hogar" t="r"/>
    <k n="LearnMoreOnLink" t="r"/>
    <k n="Líder(es)" t="r"/>
    <k n="Nombre" t="s"/>
    <k n="País o región" t="r"/>
    <k n="Permisos de construcción" t="r"/>
    <k n="Personas por hogar" t="r"/>
    <k n="Población" t="r"/>
    <k n="Población: asiática (%)" t="r"/>
    <k n="Población: blanca (%)" t="r"/>
    <k n="Población: dos o más etnicidades (%)" t="r"/>
    <k n="Población: en la fuerza laboral civil (%)" t="r"/>
    <k n="Población: graduado en secundaria o superior (%)" t="r"/>
    <k n="Población: hispana o latina (%)" t="r"/>
    <k n="Población: indio americano y nativo de Alaska (%)" t="r"/>
    <k n="Población: licenciatura o superior (%)" t="r"/>
    <k n="Población: más de 65 años (%)" t="r"/>
    <k n="Población: menor de 5 años (%)" t="r"/>
    <k n="Población: menores de 18 años (%)" t="r"/>
    <k n="Población: nativa de Hawái y otras islas del Pacífico (%)" t="r"/>
    <k n="Población: negra o afroamericana (%)" t="r"/>
    <k n="Población: personas con discapacidad (%)" t="r"/>
    <k n="Población: personas nacidas en el extranjero (%)" t="r"/>
    <k n="Renta mediana en bruto" t="r"/>
    <k n="Unidades de vivienda" t="r"/>
    <k n="UniqueName" t="s"/>
    <k n="Valor medio, unidades de vivienda ocupadas por propietario" t="r"/>
    <k n="VDPID/VSID" t="s"/>
    <k n="Zona(s) horaria(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reviatura" t="s"/>
    <k n="`Área" t="r"/>
    <k n="Cambio en la población (%)" t="r"/>
    <k n="Capital/ciudad principal" t="r"/>
    <k n="Ciudad más grande" t="r"/>
    <k n="Descripción" t="s"/>
    <k n="Hogares" t="r"/>
    <k n="Imagen" t="r"/>
    <k n="Ingresos medios del hogar" t="r"/>
    <k n="LearnMoreOnLink" t="r"/>
    <k n="Líder(es)" t="r"/>
    <k n="Nombre" t="s"/>
    <k n="País o región" t="r"/>
    <k n="Permisos de construcción" t="r"/>
    <k n="Personas por hogar" t="r"/>
    <k n="Población" t="r"/>
    <k n="Población: asiática (%)" t="r"/>
    <k n="Población: blanca (%)" t="r"/>
    <k n="Población: dos o más etnicidades (%)" t="r"/>
    <k n="Población: en la fuerza laboral civil (%)" t="r"/>
    <k n="Población: graduado en secundaria o superior (%)" t="r"/>
    <k n="Población: hispana o latina (%)" t="r"/>
    <k n="Población: indio americano y nativo de Alaska (%)" t="r"/>
    <k n="Población: licenciatura o superior (%)" t="r"/>
    <k n="Población: más de 65 años (%)" t="r"/>
    <k n="Población: menor de 5 años (%)" t="r"/>
    <k n="Población: menores de 18 años (%)" t="r"/>
    <k n="Población: negra o afroamericana (%)" t="r"/>
    <k n="Población: personas con discapacidad (%)" t="r"/>
    <k n="Población: personas nacidas en el extranjero (%)" t="r"/>
    <k n="Renta mediana en bruto" t="r"/>
    <k n="Unidades de vivienda" t="r"/>
    <k n="UniqueName" t="s"/>
    <k n="Valor medio, unidades de vivienda ocupadas por propietario" t="r"/>
    <k n="VDPID/VSID" t="s"/>
    <k n="Zona(s) horaria(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reviatura" t="s"/>
    <k n="`Área" t="r"/>
    <k n="Cambio en la población (%)" t="r"/>
    <k n="Capital/ciudad principal" t="r"/>
    <k n="Ciudad más grande" t="r"/>
    <k n="Descripción" t="s"/>
    <k n="Hogares" t="r"/>
    <k n="Idioma oficial" t="r"/>
    <k n="Imagen" t="r"/>
    <k n="Ingresos medios del hogar" t="r"/>
    <k n="LearnMoreOnLink" t="r"/>
    <k n="Líder(es)" t="r"/>
    <k n="Nombre" t="s"/>
    <k n="País o región" t="r"/>
    <k n="Permisos de construcción" t="r"/>
    <k n="Personas por hogar" t="r"/>
    <k n="Población" t="r"/>
    <k n="Población: asiática (%)" t="r"/>
    <k n="Población: blanca (%)" t="r"/>
    <k n="Población: dos o más etnicidades (%)" t="r"/>
    <k n="Población: en la fuerza laboral civil (%)" t="r"/>
    <k n="Población: graduado en secundaria o superior (%)" t="r"/>
    <k n="Población: hispana o latina (%)" t="r"/>
    <k n="Población: indio americano y nativo de Alaska (%)" t="r"/>
    <k n="Población: licenciatura o superior (%)" t="r"/>
    <k n="Población: más de 65 años (%)" t="r"/>
    <k n="Población: menor de 5 años (%)" t="r"/>
    <k n="Población: menores de 18 años (%)" t="r"/>
    <k n="Población: negra o afroamericana (%)" t="r"/>
    <k n="Población: personas con discapacidad (%)" t="r"/>
    <k n="Población: personas nacidas en el extranjero (%)" t="r"/>
    <k n="Renta mediana en bruto" t="r"/>
    <k n="Unidades de vivienda" t="r"/>
    <k n="UniqueName" t="s"/>
    <k n="Valor medio, unidades de vivienda ocupadas por propietario" t="r"/>
    <k n="VDPID/VSID" t="s"/>
    <k n="Zona(s) horaria(s)" t="r"/>
  </s>
</rvStructures>
</file>

<file path=xl/richData/rdsupportingpropertybag.xml><?xml version="1.0" encoding="utf-8"?>
<supportingPropertyBags xmlns="http://schemas.microsoft.com/office/spreadsheetml/2017/richdata2">
  <spbArrays count="4">
    <a count="51">
      <v t="s">%EntityServiceId</v>
      <v t="s">%IsRefreshable</v>
      <v t="s">_CanonicalPropertyNames</v>
      <v t="s">%EntityCulture</v>
      <v t="s">%EntityId</v>
      <v t="s">_Icon</v>
      <v t="s">_Provider</v>
      <v t="s">_Attribution</v>
      <v t="s">_Display</v>
      <v t="s">Nombre</v>
      <v t="s">_Format</v>
      <v t="s">Capital/ciudad principal</v>
      <v t="s">Líder(es)</v>
      <v t="s">País o región</v>
      <v t="s">_SubLabel</v>
      <v t="s">Población</v>
      <v t="s">`Área</v>
      <v t="s">Abreviatura</v>
      <v t="s">Ciudad más grande</v>
      <v t="s">Idioma oficial</v>
      <v t="s">Cambio en la población (%)</v>
      <v t="s">Hogares</v>
      <v t="s">Unidades de vivienda</v>
      <v t="s">Personas por hogar</v>
      <v t="s">Ingresos medios del hogar</v>
      <v t="s">Valor medio, unidades de vivienda ocupadas por propietario</v>
      <v t="s">Renta mediana en bruto</v>
      <v t="s">Permisos de construcción</v>
      <v t="s">Población: menor de 5 años (%)</v>
      <v t="s">Población: menores de 18 años (%)</v>
      <v t="s">Población: más de 65 años (%)</v>
      <v t="s">Población: personas con discapacidad (%)</v>
      <v t="s">Población: licenciatura o superior (%)</v>
      <v t="s">Población: graduado en secundaria o superior (%)</v>
      <v t="s">Población: en la fuerza laboral civil (%)</v>
      <v t="s">Población: personas nacidas en el extranjero (%)</v>
      <v t="s">Población: indio americano y nativo de Alaska (%)</v>
      <v t="s">Población: asiática (%)</v>
      <v t="s">Población: negra o afroamericana (%)</v>
      <v t="s">Población: hispana o latina (%)</v>
      <v t="s">Población: nativa de Hawái y otras islas del Pacífico (%)</v>
      <v t="s">Población: blanca (%)</v>
      <v t="s">Población: dos o más etnicidades (%)</v>
      <v t="s">Zona(s) horaria(s)</v>
      <v t="s">_Flags</v>
      <v t="s">VDPID/VSID</v>
      <v t="s">UniqueName</v>
      <v t="s">_DisplayString</v>
      <v t="s">LearnMoreOnLink</v>
      <v t="s">Imagen</v>
      <v t="s">Descripción</v>
    </a>
    <a count="50">
      <v t="s">%EntityServiceId</v>
      <v t="s">%IsRefreshable</v>
      <v t="s">_CanonicalPropertyNames</v>
      <v t="s">%EntityCulture</v>
      <v t="s">%EntityId</v>
      <v t="s">_Icon</v>
      <v t="s">_Provider</v>
      <v t="s">_Attribution</v>
      <v t="s">_Display</v>
      <v t="s">Nombre</v>
      <v t="s">_Format</v>
      <v t="s">Capital/ciudad principal</v>
      <v t="s">Líder(es)</v>
      <v t="s">País o región</v>
      <v t="s">_SubLabel</v>
      <v t="s">Población</v>
      <v t="s">`Área</v>
      <v t="s">Abreviatura</v>
      <v t="s">Ciudad más grande</v>
      <v t="s">Cambio en la población (%)</v>
      <v t="s">Hogares</v>
      <v t="s">Unidades de vivienda</v>
      <v t="s">Personas por hogar</v>
      <v t="s">Ingresos medios del hogar</v>
      <v t="s">Valor medio, unidades de vivienda ocupadas por propietario</v>
      <v t="s">Renta mediana en bruto</v>
      <v t="s">Permisos de construcción</v>
      <v t="s">Población: menor de 5 años (%)</v>
      <v t="s">Población: menores de 18 años (%)</v>
      <v t="s">Población: más de 65 años (%)</v>
      <v t="s">Población: personas con discapacidad (%)</v>
      <v t="s">Población: licenciatura o superior (%)</v>
      <v t="s">Población: graduado en secundaria o superior (%)</v>
      <v t="s">Población: en la fuerza laboral civil (%)</v>
      <v t="s">Población: personas nacidas en el extranjero (%)</v>
      <v t="s">Población: indio americano y nativo de Alaska (%)</v>
      <v t="s">Población: asiática (%)</v>
      <v t="s">Población: negra o afroamericana (%)</v>
      <v t="s">Población: hispana o latina (%)</v>
      <v t="s">Población: nativa de Hawái y otras islas del Pacífico (%)</v>
      <v t="s">Población: blanca (%)</v>
      <v t="s">Población: dos o más etnicidades (%)</v>
      <v t="s">Zona(s) horaria(s)</v>
      <v t="s">_Flags</v>
      <v t="s">VDPID/VSID</v>
      <v t="s">UniqueName</v>
      <v t="s">_DisplayString</v>
      <v t="s">LearnMoreOnLink</v>
      <v t="s">Imagen</v>
      <v t="s">Descripción</v>
    </a>
    <a count="49">
      <v t="s">%EntityServiceId</v>
      <v t="s">%IsRefreshable</v>
      <v t="s">_CanonicalPropertyNames</v>
      <v t="s">%EntityCulture</v>
      <v t="s">%EntityId</v>
      <v t="s">_Icon</v>
      <v t="s">_Provider</v>
      <v t="s">_Attribution</v>
      <v t="s">_Display</v>
      <v t="s">Nombre</v>
      <v t="s">_Format</v>
      <v t="s">Capital/ciudad principal</v>
      <v t="s">Líder(es)</v>
      <v t="s">País o región</v>
      <v t="s">_SubLabel</v>
      <v t="s">Población</v>
      <v t="s">`Área</v>
      <v t="s">Abreviatura</v>
      <v t="s">Ciudad más grande</v>
      <v t="s">Cambio en la población (%)</v>
      <v t="s">Hogares</v>
      <v t="s">Unidades de vivienda</v>
      <v t="s">Personas por hogar</v>
      <v t="s">Ingresos medios del hogar</v>
      <v t="s">Valor medio, unidades de vivienda ocupadas por propietario</v>
      <v t="s">Renta mediana en bruto</v>
      <v t="s">Permisos de construcción</v>
      <v t="s">Población: menor de 5 años (%)</v>
      <v t="s">Población: menores de 18 años (%)</v>
      <v t="s">Población: más de 65 años (%)</v>
      <v t="s">Población: personas con discapacidad (%)</v>
      <v t="s">Población: licenciatura o superior (%)</v>
      <v t="s">Población: graduado en secundaria o superior (%)</v>
      <v t="s">Población: en la fuerza laboral civil (%)</v>
      <v t="s">Población: personas nacidas en el extranjero (%)</v>
      <v t="s">Población: indio americano y nativo de Alaska (%)</v>
      <v t="s">Población: asiática (%)</v>
      <v t="s">Población: negra o afroamericana (%)</v>
      <v t="s">Población: hispana o latina (%)</v>
      <v t="s">Población: blanca (%)</v>
      <v t="s">Población: dos o más etnicidades (%)</v>
      <v t="s">Zona(s) horaria(s)</v>
      <v t="s">_Flags</v>
      <v t="s">VDPID/VSID</v>
      <v t="s">UniqueName</v>
      <v t="s">_DisplayString</v>
      <v t="s">LearnMoreOnLink</v>
      <v t="s">Imagen</v>
      <v t="s">Descripción</v>
    </a>
    <a count="50">
      <v t="s">%EntityServiceId</v>
      <v t="s">%IsRefreshable</v>
      <v t="s">_CanonicalPropertyNames</v>
      <v t="s">%EntityCulture</v>
      <v t="s">%EntityId</v>
      <v t="s">_Icon</v>
      <v t="s">_Provider</v>
      <v t="s">_Attribution</v>
      <v t="s">_Display</v>
      <v t="s">Nombre</v>
      <v t="s">_Format</v>
      <v t="s">Capital/ciudad principal</v>
      <v t="s">Líder(es)</v>
      <v t="s">País o región</v>
      <v t="s">_SubLabel</v>
      <v t="s">Población</v>
      <v t="s">`Área</v>
      <v t="s">Abreviatura</v>
      <v t="s">Ciudad más grande</v>
      <v t="s">Idioma oficial</v>
      <v t="s">Cambio en la población (%)</v>
      <v t="s">Hogares</v>
      <v t="s">Unidades de vivienda</v>
      <v t="s">Personas por hogar</v>
      <v t="s">Ingresos medios del hogar</v>
      <v t="s">Valor medio, unidades de vivienda ocupadas por propietario</v>
      <v t="s">Renta mediana en bruto</v>
      <v t="s">Permisos de construcción</v>
      <v t="s">Población: menor de 5 años (%)</v>
      <v t="s">Población: menores de 18 años (%)</v>
      <v t="s">Población: más de 65 años (%)</v>
      <v t="s">Población: personas con discapacidad (%)</v>
      <v t="s">Población: licenciatura o superior (%)</v>
      <v t="s">Población: graduado en secundaria o superior (%)</v>
      <v t="s">Población: en la fuerza laboral civil (%)</v>
      <v t="s">Población: personas nacidas en el extranjero (%)</v>
      <v t="s">Población: indio americano y nativo de Alaska (%)</v>
      <v t="s">Población: asiática (%)</v>
      <v t="s">Población: negra o afroamericana (%)</v>
      <v t="s">Población: hispana o latina (%)</v>
      <v t="s">Población: blanca (%)</v>
      <v t="s">Población: dos o más etnicidades (%)</v>
      <v t="s">Zona(s) horaria(s)</v>
      <v t="s">_Flags</v>
      <v t="s">VDPID/VSID</v>
      <v t="s">UniqueName</v>
      <v t="s">_DisplayString</v>
      <v t="s">LearnMoreOnLink</v>
      <v t="s">Imagen</v>
      <v t="s">Descripción</v>
    </a>
  </spbArrays>
  <spbData count="211">
    <spb s="0">
      <v xml:space="preserve">Wikipedia	</v>
      <v xml:space="preserve">CC BY-SA 3.0	</v>
      <v xml:space="preserve">https://es.wikipedia.org/wiki/Alabama	</v>
      <v xml:space="preserve">https://creativecommons.org/licenses/by-sa/3.0	</v>
    </spb>
    <spb s="0">
      <v xml:space="preserve">US Census	</v>
      <v xml:space="preserve">	</v>
      <v xml:space="preserve">https://www.census.gov/popest/data/state/asrh/2014/files/SC-EST2014-AGESEX-CIV.csv	</v>
      <v xml:space="preserve">	</v>
    </spb>
    <spb s="0">
      <v xml:space="preserve">Wikipedia	</v>
      <v xml:space="preserve">CC-BY-SA	</v>
      <v xml:space="preserve">http://en.wikipedia.org/wiki/Alabama	</v>
      <v xml:space="preserve">http://creativecommons.org/licenses/by-sa/3.0/	</v>
    </spb>
    <spb s="0">
      <v xml:space="preserve">Wikipedia	US Census	US Census	</v>
      <v xml:space="preserve">CC-BY-SA			</v>
      <v xml:space="preserve">http://en.wikipedia.org/wiki/Alabama	https://www.census.gov/popest/data/state/asrh/2014/files/SC-EST2014-AGESEX-CIV.csv	http://www.census.gov/quickfacts/table/WTN220212/01	</v>
      <v xml:space="preserve">http://creativecommons.org/licenses/by-sa/3.0/			</v>
    </spb>
    <spb s="1">
      <v>0</v>
      <v>0</v>
      <v>1</v>
      <v>0</v>
      <v>0</v>
      <v>2</v>
      <v>0</v>
      <v>0</v>
      <v>0</v>
      <v>1</v>
      <v>1</v>
      <v>1</v>
      <v>3</v>
      <v>1</v>
      <v>0</v>
      <v>1</v>
      <v>3</v>
      <v>1</v>
      <v>1</v>
      <v>1</v>
      <v>1</v>
      <v>1</v>
      <v>1</v>
      <v>1</v>
      <v>1</v>
      <v>1</v>
      <v>1</v>
      <v>1</v>
      <v>1</v>
      <v>1</v>
      <v>1</v>
      <v>3</v>
    </spb>
    <spb s="2">
      <v>Area</v>
      <v>Image</v>
      <v>Name</v>
      <v>Households</v>
      <v>Population</v>
      <v>UniqueName</v>
      <v>VDPID/VSID</v>
      <v>Abbreviation</v>
      <v>Description</v>
      <v>Country/region</v>
      <v>LearnMoreOnLink</v>
      <v>Largest city</v>
      <v>Persons per household</v>
      <v>Housing units</v>
      <v>Population: White (%)</v>
      <v>Median gross rent</v>
      <v>Population: Asian (%)</v>
      <v>Capital/Major City</v>
      <v>Building permits</v>
      <v>Median household income</v>
      <v>Population change (%)</v>
      <v>Population: Age 65+ (%)</v>
      <v>Population: Under age 5 (%)</v>
      <v>Population: Hispanic or Latino (%)</v>
      <v>Population: Under age 18 (%)</v>
      <v>Population: Two or more races (%)</v>
      <v>Population: Black or African American (%)</v>
      <v>Population: Bachelor's degree or higher (%)</v>
      <v>Population: Persons with a disability (%)</v>
      <v>Population: In civilian labor force (%)</v>
      <v>Population: High school graduate or higher (%)</v>
      <v>Population: Foreign born persons (%)</v>
      <v>Population: American Indian and Alaskan Native (%)</v>
      <v>Population: Native Hawaiian and Other Pacific Islander (%)</v>
      <v>Median value, owner-occupied housing units</v>
    </spb>
    <spb s="3">
      <v>0</v>
      <v>Name</v>
      <v>LearnMoreOnLink</v>
    </spb>
    <spb s="4">
      <v>0</v>
      <v>0</v>
      <v>0</v>
    </spb>
    <spb s="5">
      <v>7</v>
      <v>7</v>
      <v>7</v>
    </spb>
    <spb s="6">
      <v>1</v>
      <v>2</v>
    </spb>
    <spb s="7">
      <v>https://www.bing.com</v>
      <v>https://www.bing.com/th?id=Ga%5Cbing_yt.png&amp;w=100&amp;h=40&amp;c=0&amp;pid=0.1</v>
      <v>Con tecnología de Bing</v>
    </spb>
    <spb s="8">
      <v>kilómetro cuadrado</v>
      <v>2015</v>
      <v>2024</v>
      <v>2015</v>
      <v>2016</v>
      <v>personas (2015)</v>
      <v>2015</v>
      <v>personas (2015)</v>
      <v>2016</v>
      <v>2015</v>
      <v>2010, 2016</v>
      <v>2015</v>
      <v>2015</v>
      <v>personas (2015)</v>
      <v>2015</v>
      <v>personas (2015)</v>
      <v>personas (2015)</v>
      <v>personas mayores de 25 años, 2015</v>
      <v>menor de 65 años, 2015</v>
      <v>personas mayores de 16 años, 2015</v>
      <v>personas (2015)</v>
      <v>2015</v>
      <v>personas (2015)</v>
      <v>personas (2015)</v>
      <v>2015</v>
    </spb>
    <spb s="9">
      <v>3</v>
    </spb>
    <spb s="9">
      <v>4</v>
    </spb>
    <spb s="9">
      <v>5</v>
    </spb>
    <spb s="9">
      <v>6</v>
    </spb>
    <spb s="9">
      <v>7</v>
    </spb>
    <spb s="0">
      <v xml:space="preserve">Wikipedia	</v>
      <v xml:space="preserve">CC BY-SA 3.0	</v>
      <v xml:space="preserve">https://es.wikipedia.org/wiki/Arizona	</v>
      <v xml:space="preserve">https://creativecommons.org/licenses/by-sa/3.0	</v>
    </spb>
    <spb s="0">
      <v xml:space="preserve">Wikipedia	</v>
      <v xml:space="preserve">CC-BY-SA	</v>
      <v xml:space="preserve">http://en.wikipedia.org/wiki/Arizona	</v>
      <v xml:space="preserve">http://creativecommons.org/licenses/by-sa/3.0/	</v>
    </spb>
    <spb s="0">
      <v xml:space="preserve">Wikipedia	US Census	US Census	</v>
      <v xml:space="preserve">CC-BY-SA			</v>
      <v xml:space="preserve">http://en.wikipedia.org/wiki/Arizona	https://www.census.gov/popest/data/state/asrh/2014/files/SC-EST2014-AGESEX-CIV.csv	http://www.census.gov/quickfacts/table/age775215/04	</v>
      <v xml:space="preserve">http://creativecommons.org/licenses/by-sa/3.0/			</v>
    </spb>
    <spb s="1">
      <v>17</v>
      <v>17</v>
      <v>1</v>
      <v>17</v>
      <v>17</v>
      <v>18</v>
      <v>17</v>
      <v>17</v>
      <v>17</v>
      <v>1</v>
      <v>1</v>
      <v>1</v>
      <v>19</v>
      <v>1</v>
      <v>17</v>
      <v>1</v>
      <v>19</v>
      <v>1</v>
      <v>1</v>
      <v>1</v>
      <v>1</v>
      <v>1</v>
      <v>1</v>
      <v>1</v>
      <v>1</v>
      <v>1</v>
      <v>1</v>
      <v>1</v>
      <v>1</v>
      <v>1</v>
      <v>1</v>
      <v>19</v>
    </spb>
    <spb s="0">
      <v xml:space="preserve">Wikipedia	</v>
      <v xml:space="preserve">CC BY-SA 3.0	</v>
      <v xml:space="preserve">https://es.wikipedia.org/wiki/Arkansas	</v>
      <v xml:space="preserve">https://creativecommons.org/licenses/by-sa/3.0	</v>
    </spb>
    <spb s="0">
      <v xml:space="preserve">Wikipedia	</v>
      <v xml:space="preserve">CC-BY-SA	</v>
      <v xml:space="preserve">http://en.wikipedia.org/wiki/Arkansas	</v>
      <v xml:space="preserve">http://creativecommons.org/licenses/by-sa/3.0/	</v>
    </spb>
    <spb s="0">
      <v xml:space="preserve">Wikipedia	US Census	US Census	</v>
      <v xml:space="preserve">CC-BY-SA			</v>
      <v xml:space="preserve">http://en.wikipedia.org/wiki/Arkansas	https://www.census.gov/popest/data/state/asrh/2014/files/SC-EST2014-AGESEX-CIV.csv	http://www.census.gov/quickfacts/table/VET605214/05	</v>
      <v xml:space="preserve">http://creativecommons.org/licenses/by-sa/3.0/			</v>
    </spb>
    <spb s="1">
      <v>21</v>
      <v>21</v>
      <v>1</v>
      <v>21</v>
      <v>21</v>
      <v>22</v>
      <v>21</v>
      <v>21</v>
      <v>21</v>
      <v>1</v>
      <v>1</v>
      <v>1</v>
      <v>23</v>
      <v>1</v>
      <v>21</v>
      <v>1</v>
      <v>23</v>
      <v>1</v>
      <v>1</v>
      <v>1</v>
      <v>1</v>
      <v>1</v>
      <v>1</v>
      <v>1</v>
      <v>1</v>
      <v>1</v>
      <v>1</v>
      <v>1</v>
      <v>1</v>
      <v>1</v>
      <v>1</v>
      <v>23</v>
    </spb>
    <spb s="0">
      <v xml:space="preserve">Wikipedia	</v>
      <v xml:space="preserve">CC BY-SA 3.0	</v>
      <v xml:space="preserve">https://es.wikipedia.org/wiki/California	</v>
      <v xml:space="preserve">https://creativecommons.org/licenses/by-sa/3.0	</v>
    </spb>
    <spb s="0">
      <v xml:space="preserve">Wikipedia	</v>
      <v xml:space="preserve">CC-BY-SA	</v>
      <v xml:space="preserve">http://en.wikipedia.org/wiki/California	</v>
      <v xml:space="preserve">http://creativecommons.org/licenses/by-sa/3.0/	</v>
    </spb>
    <spb s="0">
      <v xml:space="preserve">Wikipedia	US Census	US Census	</v>
      <v xml:space="preserve">CC-BY-SA			</v>
      <v xml:space="preserve">http://en.wikipedia.org/wiki/California	https://www.census.gov/popest/data/state/asrh/2014/files/SC-EST2014-AGESEX-CIV.csv	http://www.census.gov/quickfacts/table/VET605214/06	</v>
      <v xml:space="preserve">http://creativecommons.org/licenses/by-sa/3.0/			</v>
    </spb>
    <spb s="1">
      <v>25</v>
      <v>25</v>
      <v>1</v>
      <v>25</v>
      <v>25</v>
      <v>26</v>
      <v>25</v>
      <v>25</v>
      <v>25</v>
      <v>1</v>
      <v>1</v>
      <v>1</v>
      <v>27</v>
      <v>1</v>
      <v>25</v>
      <v>1</v>
      <v>27</v>
      <v>1</v>
      <v>1</v>
      <v>1</v>
      <v>1</v>
      <v>1</v>
      <v>1</v>
      <v>1</v>
      <v>1</v>
      <v>1</v>
      <v>1</v>
      <v>1</v>
      <v>1</v>
      <v>1</v>
      <v>1</v>
      <v>27</v>
    </spb>
    <spb s="0">
      <v xml:space="preserve">Wikipedia	</v>
      <v xml:space="preserve">CC BY-SA 3.0	</v>
      <v xml:space="preserve">https://es.wikipedia.org/wiki/Colorado	</v>
      <v xml:space="preserve">https://creativecommons.org/licenses/by-sa/3.0	</v>
    </spb>
    <spb s="0">
      <v xml:space="preserve">Wikipedia	</v>
      <v xml:space="preserve">CC-BY-SA	</v>
      <v xml:space="preserve">http://en.wikipedia.org/wiki/Colorado	</v>
      <v xml:space="preserve">http://creativecommons.org/licenses/by-sa/3.0/	</v>
    </spb>
    <spb s="0">
      <v xml:space="preserve">Wikipedia	US Census	US Census	</v>
      <v xml:space="preserve">CC-BY-SA			</v>
      <v xml:space="preserve">http://en.wikipedia.org/wiki/Colorado	https://www.census.gov/popest/data/state/asrh/2014/files/SC-EST2014-AGESEX-CIV.csv	http://www.census.gov/quickfacts/table/WTN220212/08	</v>
      <v xml:space="preserve">http://creativecommons.org/licenses/by-sa/3.0/			</v>
    </spb>
    <spb s="1">
      <v>29</v>
      <v>29</v>
      <v>1</v>
      <v>29</v>
      <v>29</v>
      <v>30</v>
      <v>29</v>
      <v>29</v>
      <v>29</v>
      <v>1</v>
      <v>1</v>
      <v>1</v>
      <v>31</v>
      <v>1</v>
      <v>29</v>
      <v>1</v>
      <v>31</v>
      <v>1</v>
      <v>1</v>
      <v>1</v>
      <v>1</v>
      <v>1</v>
      <v>1</v>
      <v>1</v>
      <v>1</v>
      <v>1</v>
      <v>1</v>
      <v>1</v>
      <v>1</v>
      <v>1</v>
      <v>1</v>
      <v>31</v>
    </spb>
    <spb s="0">
      <v xml:space="preserve">Wikipedia	</v>
      <v xml:space="preserve">CC BY-SA 3.0	</v>
      <v xml:space="preserve">https://es.wikipedia.org/wiki/Connecticut	</v>
      <v xml:space="preserve">https://creativecommons.org/licenses/by-sa/3.0	</v>
    </spb>
    <spb s="0">
      <v xml:space="preserve">Wikipedia	</v>
      <v xml:space="preserve">CC-BY-SA	</v>
      <v xml:space="preserve">http://en.wikipedia.org/wiki/Connecticut	</v>
      <v xml:space="preserve">http://creativecommons.org/licenses/by-sa/3.0/	</v>
    </spb>
    <spb s="0">
      <v xml:space="preserve">Wikipedia	US Census	Bookdepository	</v>
      <v xml:space="preserve">CC-BY-SA			</v>
      <v xml:space="preserve">http://en.wikipedia.org/wiki/Connecticut	https://www.census.gov/popest/data/state/asrh/2014/files/SC-EST2014-AGESEX-CIV.csv	https://www.bookdepository.com/author/Etc-Connecticut-Laws	</v>
      <v xml:space="preserve">http://creativecommons.org/licenses/by-sa/3.0/			</v>
    </spb>
    <spb s="1">
      <v>33</v>
      <v>33</v>
      <v>1</v>
      <v>33</v>
      <v>33</v>
      <v>34</v>
      <v>33</v>
      <v>33</v>
      <v>33</v>
      <v>1</v>
      <v>1</v>
      <v>1</v>
      <v>35</v>
      <v>1</v>
      <v>33</v>
      <v>1</v>
      <v>35</v>
      <v>1</v>
      <v>1</v>
      <v>1</v>
      <v>1</v>
      <v>1</v>
      <v>1</v>
      <v>1</v>
      <v>1</v>
      <v>1</v>
      <v>1</v>
      <v>1</v>
      <v>1</v>
      <v>1</v>
      <v>1</v>
      <v>35</v>
    </spb>
    <spb s="3">
      <v>1</v>
      <v>Name</v>
      <v>LearnMoreOnLink</v>
    </spb>
    <spb s="0">
      <v xml:space="preserve">Wikipedia	</v>
      <v xml:space="preserve">CC BY-SA 3.0	</v>
      <v xml:space="preserve">https://es.wikipedia.org/wiki/Delaware	</v>
      <v xml:space="preserve">https://creativecommons.org/licenses/by-sa/3.0	</v>
    </spb>
    <spb s="0">
      <v xml:space="preserve">Wikipedia	</v>
      <v xml:space="preserve">CC-BY-SA	</v>
      <v xml:space="preserve">http://en.wikipedia.org/wiki/Delaware	</v>
      <v xml:space="preserve">http://creativecommons.org/licenses/by-sa/3.0/	</v>
    </spb>
    <spb s="0">
      <v xml:space="preserve">Wikipedia	US Census	US Census	</v>
      <v xml:space="preserve">CC-BY-SA			</v>
      <v xml:space="preserve">http://en.wikipedia.org/wiki/Delaware	https://www.census.gov/popest/data/state/asrh/2014/files/SC-EST2014-AGESEX-CIV.csv	http://www.census.gov/quickfacts/table/WTN220212/10	</v>
      <v xml:space="preserve">http://creativecommons.org/licenses/by-sa/3.0/			</v>
    </spb>
    <spb s="1">
      <v>38</v>
      <v>38</v>
      <v>1</v>
      <v>38</v>
      <v>38</v>
      <v>39</v>
      <v>38</v>
      <v>38</v>
      <v>38</v>
      <v>1</v>
      <v>1</v>
      <v>1</v>
      <v>40</v>
      <v>1</v>
      <v>38</v>
      <v>1</v>
      <v>40</v>
      <v>1</v>
      <v>1</v>
      <v>1</v>
      <v>1</v>
      <v>1</v>
      <v>1</v>
      <v>1</v>
      <v>1</v>
      <v>1</v>
      <v>1</v>
      <v>1</v>
      <v>1</v>
      <v>1</v>
      <v>1</v>
      <v>40</v>
    </spb>
    <spb s="0">
      <v xml:space="preserve">Wikipedia	</v>
      <v xml:space="preserve">CC BY-SA 3.0	</v>
      <v xml:space="preserve">https://es.wikipedia.org/wiki/Florida	</v>
      <v xml:space="preserve">https://creativecommons.org/licenses/by-sa/3.0	</v>
    </spb>
    <spb s="0">
      <v xml:space="preserve">Wikipedia	</v>
      <v xml:space="preserve">CC-BY-SA	</v>
      <v xml:space="preserve">http://en.wikipedia.org/wiki/Florida	</v>
      <v xml:space="preserve">http://creativecommons.org/licenses/by-sa/3.0/	</v>
    </spb>
    <spb s="0">
      <v xml:space="preserve">Wikipedia	US Census	US Census	</v>
      <v xml:space="preserve">CC-BY-SA			</v>
      <v xml:space="preserve">http://en.wikipedia.org/wiki/Florida	https://www.census.gov/popest/data/state/asrh/2014/files/SC-EST2014-AGESEX-CIV.csv	http://www.census.gov/quickfacts/table/WTN220212/12	</v>
      <v xml:space="preserve">http://creativecommons.org/licenses/by-sa/3.0/			</v>
    </spb>
    <spb s="1">
      <v>42</v>
      <v>42</v>
      <v>1</v>
      <v>42</v>
      <v>42</v>
      <v>43</v>
      <v>42</v>
      <v>42</v>
      <v>42</v>
      <v>1</v>
      <v>1</v>
      <v>1</v>
      <v>44</v>
      <v>1</v>
      <v>42</v>
      <v>1</v>
      <v>44</v>
      <v>1</v>
      <v>1</v>
      <v>1</v>
      <v>1</v>
      <v>1</v>
      <v>1</v>
      <v>1</v>
      <v>1</v>
      <v>1</v>
      <v>1</v>
      <v>1</v>
      <v>1</v>
      <v>1</v>
      <v>1</v>
      <v>44</v>
    </spb>
    <spb s="0">
      <v xml:space="preserve">Wikipedia	</v>
      <v xml:space="preserve">CC BY-SA 3.0	</v>
      <v xml:space="preserve">https://es.wikipedia.org/wiki/Georgia_(Estados_Unidos)	</v>
      <v xml:space="preserve">https://creativecommons.org/licenses/by-sa/3.0	</v>
    </spb>
    <spb s="0">
      <v xml:space="preserve">Wikipedia	</v>
      <v xml:space="preserve">CC-BY-SA	</v>
      <v xml:space="preserve">http://en.wikipedia.org/wiki/Georgia_(U.S._state)	</v>
      <v xml:space="preserve">http://creativecommons.org/licenses/by-sa/3.0/	</v>
    </spb>
    <spb s="0">
      <v xml:space="preserve">Wikipedia	US Census	US Census	</v>
      <v xml:space="preserve">CC-BY-SA			</v>
      <v xml:space="preserve">http://en.wikipedia.org/wiki/Georgia_(U.S._state)	https://www.census.gov/popest/data/state/asrh/2014/files/SC-EST2014-AGESEX-CIV.csv	http://www.census.gov/quickfacts/table/WTN220212/13	</v>
      <v xml:space="preserve">http://creativecommons.org/licenses/by-sa/3.0/			</v>
    </spb>
    <spb s="1">
      <v>46</v>
      <v>46</v>
      <v>1</v>
      <v>46</v>
      <v>46</v>
      <v>47</v>
      <v>46</v>
      <v>46</v>
      <v>46</v>
      <v>1</v>
      <v>1</v>
      <v>1</v>
      <v>48</v>
      <v>1</v>
      <v>46</v>
      <v>1</v>
      <v>48</v>
      <v>1</v>
      <v>1</v>
      <v>1</v>
      <v>1</v>
      <v>1</v>
      <v>1</v>
      <v>1</v>
      <v>1</v>
      <v>1</v>
      <v>1</v>
      <v>1</v>
      <v>1</v>
      <v>1</v>
      <v>1</v>
      <v>48</v>
    </spb>
    <spb s="0">
      <v xml:space="preserve">Wikipedia	</v>
      <v xml:space="preserve">CC BY-SA 3.0	</v>
      <v xml:space="preserve">https://es.wikipedia.org/wiki/Idaho	</v>
      <v xml:space="preserve">https://creativecommons.org/licenses/by-sa/3.0	</v>
    </spb>
    <spb s="0">
      <v xml:space="preserve">Wikipedia	</v>
      <v xml:space="preserve">CC-BY-SA	</v>
      <v xml:space="preserve">http://en.wikipedia.org/wiki/Idaho	</v>
      <v xml:space="preserve">http://creativecommons.org/licenses/by-sa/3.0/	</v>
    </spb>
    <spb s="0">
      <v xml:space="preserve">Wikipedia	US Census	US Census	</v>
      <v xml:space="preserve">CC-BY-SA			</v>
      <v xml:space="preserve">http://en.wikipedia.org/wiki/Idaho	https://www.census.gov/popest/data/state/asrh/2014/files/SC-EST2014-AGESEX-CIV.csv	http://www.census.gov/quickfacts/table/WTN220212/16	</v>
      <v xml:space="preserve">http://creativecommons.org/licenses/by-sa/3.0/			</v>
    </spb>
    <spb s="1">
      <v>50</v>
      <v>50</v>
      <v>1</v>
      <v>50</v>
      <v>50</v>
      <v>51</v>
      <v>50</v>
      <v>50</v>
      <v>50</v>
      <v>1</v>
      <v>1</v>
      <v>1</v>
      <v>52</v>
      <v>1</v>
      <v>50</v>
      <v>1</v>
      <v>52</v>
      <v>1</v>
      <v>1</v>
      <v>1</v>
      <v>1</v>
      <v>1</v>
      <v>1</v>
      <v>1</v>
      <v>1</v>
      <v>1</v>
      <v>1</v>
      <v>1</v>
      <v>1</v>
      <v>1</v>
      <v>1</v>
      <v>52</v>
    </spb>
    <spb s="0">
      <v xml:space="preserve">Wikipedia	</v>
      <v xml:space="preserve">CC BY-SA 3.0	</v>
      <v xml:space="preserve">https://es.wikipedia.org/wiki/Illinois	</v>
      <v xml:space="preserve">https://creativecommons.org/licenses/by-sa/3.0	</v>
    </spb>
    <spb s="0">
      <v xml:space="preserve">Wikipedia	</v>
      <v xml:space="preserve">CC-BY-SA	</v>
      <v xml:space="preserve">http://en.wikipedia.org/wiki/Illinois	</v>
      <v xml:space="preserve">http://creativecommons.org/licenses/by-sa/3.0/	</v>
    </spb>
    <spb s="0">
      <v xml:space="preserve">Wikipedia	US Census	US Census	</v>
      <v xml:space="preserve">CC-BY-SA			</v>
      <v xml:space="preserve">http://en.wikipedia.org/wiki/Illinois	https://www.census.gov/popest/data/state/asrh/2014/files/SC-EST2014-AGESEX-CIV.csv	http://www.census.gov/quickfacts/table/WTN220212/17	</v>
      <v xml:space="preserve">http://creativecommons.org/licenses/by-sa/3.0/			</v>
    </spb>
    <spb s="1">
      <v>54</v>
      <v>54</v>
      <v>1</v>
      <v>54</v>
      <v>54</v>
      <v>55</v>
      <v>54</v>
      <v>54</v>
      <v>54</v>
      <v>1</v>
      <v>1</v>
      <v>1</v>
      <v>56</v>
      <v>1</v>
      <v>54</v>
      <v>1</v>
      <v>56</v>
      <v>1</v>
      <v>1</v>
      <v>1</v>
      <v>1</v>
      <v>1</v>
      <v>1</v>
      <v>1</v>
      <v>1</v>
      <v>1</v>
      <v>1</v>
      <v>1</v>
      <v>1</v>
      <v>1</v>
      <v>1</v>
      <v>56</v>
    </spb>
    <spb s="0">
      <v xml:space="preserve">Wikipedia	</v>
      <v xml:space="preserve">CC BY-SA 3.0	</v>
      <v xml:space="preserve">https://es.wikipedia.org/wiki/Indiana	</v>
      <v xml:space="preserve">https://creativecommons.org/licenses/by-sa/3.0	</v>
    </spb>
    <spb s="0">
      <v xml:space="preserve">Wikipedia	</v>
      <v xml:space="preserve">CC-BY-SA	</v>
      <v xml:space="preserve">http://en.wikipedia.org/wiki/Indiana	</v>
      <v xml:space="preserve">http://creativecommons.org/licenses/by-sa/3.0/	</v>
    </spb>
    <spb s="0">
      <v xml:space="preserve">Wikipedia	US Census	US Census	</v>
      <v xml:space="preserve">CC-BY-SA			</v>
      <v xml:space="preserve">http://en.wikipedia.org/wiki/Indiana	https://www.census.gov/popest/data/state/asrh/2014/files/SC-EST2014-AGESEX-CIV.csv	http://www.census.gov/quickfacts/table/WTN220212/18	</v>
      <v xml:space="preserve">http://creativecommons.org/licenses/by-sa/3.0/			</v>
    </spb>
    <spb s="1">
      <v>58</v>
      <v>58</v>
      <v>1</v>
      <v>58</v>
      <v>58</v>
      <v>59</v>
      <v>58</v>
      <v>58</v>
      <v>58</v>
      <v>1</v>
      <v>1</v>
      <v>1</v>
      <v>60</v>
      <v>1</v>
      <v>58</v>
      <v>1</v>
      <v>60</v>
      <v>1</v>
      <v>1</v>
      <v>1</v>
      <v>1</v>
      <v>1</v>
      <v>1</v>
      <v>1</v>
      <v>1</v>
      <v>1</v>
      <v>1</v>
      <v>1</v>
      <v>1</v>
      <v>1</v>
      <v>1</v>
      <v>60</v>
    </spb>
    <spb s="0">
      <v xml:space="preserve">Wikipedia	</v>
      <v xml:space="preserve">CC BY-SA 3.0	</v>
      <v xml:space="preserve">https://es.wikipedia.org/wiki/Iowa	</v>
      <v xml:space="preserve">https://creativecommons.org/licenses/by-sa/3.0	</v>
    </spb>
    <spb s="0">
      <v xml:space="preserve">Wikipedia	</v>
      <v xml:space="preserve">CC-BY-SA	</v>
      <v xml:space="preserve">http://en.wikipedia.org/wiki/Iowa	</v>
      <v xml:space="preserve">http://creativecommons.org/licenses/by-sa/3.0/	</v>
    </spb>
    <spb s="0">
      <v xml:space="preserve">Wikipedia	US Census	US Census	</v>
      <v xml:space="preserve">CC-BY-SA			</v>
      <v xml:space="preserve">http://en.wikipedia.org/wiki/Iowa	https://www.census.gov/popest/data/state/asrh/2014/files/SC-EST2014-AGESEX-CIV.csv	http://www.census.gov/quickfacts/table/WTN220212/19	</v>
      <v xml:space="preserve">http://creativecommons.org/licenses/by-sa/3.0/			</v>
    </spb>
    <spb s="1">
      <v>62</v>
      <v>62</v>
      <v>1</v>
      <v>62</v>
      <v>62</v>
      <v>63</v>
      <v>62</v>
      <v>62</v>
      <v>62</v>
      <v>1</v>
      <v>1</v>
      <v>1</v>
      <v>64</v>
      <v>1</v>
      <v>62</v>
      <v>1</v>
      <v>64</v>
      <v>1</v>
      <v>1</v>
      <v>1</v>
      <v>1</v>
      <v>1</v>
      <v>1</v>
      <v>1</v>
      <v>1</v>
      <v>1</v>
      <v>1</v>
      <v>1</v>
      <v>1</v>
      <v>1</v>
      <v>1</v>
      <v>64</v>
    </spb>
    <spb s="0">
      <v xml:space="preserve">Wikipedia	</v>
      <v xml:space="preserve">CC BY-SA 3.0	</v>
      <v xml:space="preserve">https://es.wikipedia.org/wiki/Kansas	</v>
      <v xml:space="preserve">https://creativecommons.org/licenses/by-sa/3.0	</v>
    </spb>
    <spb s="0">
      <v xml:space="preserve">Wikipedia	</v>
      <v xml:space="preserve">CC-BY-SA	</v>
      <v xml:space="preserve">http://en.wikipedia.org/wiki/Kansas	</v>
      <v xml:space="preserve">http://creativecommons.org/licenses/by-sa/3.0/	</v>
    </spb>
    <spb s="0">
      <v xml:space="preserve">Wikipedia	US Census	US Census	</v>
      <v xml:space="preserve">CC-BY-SA			</v>
      <v xml:space="preserve">http://en.wikipedia.org/wiki/Kansas	https://www.census.gov/popest/data/state/asrh/2014/files/SC-EST2014-AGESEX-CIV.csv	http://www.census.gov/quickfacts/table/WTN220212/20	</v>
      <v xml:space="preserve">http://creativecommons.org/licenses/by-sa/3.0/			</v>
    </spb>
    <spb s="1">
      <v>66</v>
      <v>66</v>
      <v>1</v>
      <v>66</v>
      <v>66</v>
      <v>67</v>
      <v>66</v>
      <v>66</v>
      <v>66</v>
      <v>1</v>
      <v>1</v>
      <v>1</v>
      <v>68</v>
      <v>1</v>
      <v>66</v>
      <v>1</v>
      <v>68</v>
      <v>1</v>
      <v>1</v>
      <v>1</v>
      <v>1</v>
      <v>1</v>
      <v>1</v>
      <v>1</v>
      <v>1</v>
      <v>1</v>
      <v>1</v>
      <v>1</v>
      <v>1</v>
      <v>1</v>
      <v>1</v>
      <v>68</v>
    </spb>
    <spb s="0">
      <v xml:space="preserve">Wikipedia	</v>
      <v xml:space="preserve">CC BY-SA 3.0	</v>
      <v xml:space="preserve">https://es.wikipedia.org/wiki/Kentucky	</v>
      <v xml:space="preserve">https://creativecommons.org/licenses/by-sa/3.0	</v>
    </spb>
    <spb s="0">
      <v xml:space="preserve">Wikipedia	</v>
      <v xml:space="preserve">CC-BY-SA	</v>
      <v xml:space="preserve">http://en.wikipedia.org/wiki/Kentucky	</v>
      <v xml:space="preserve">http://creativecommons.org/licenses/by-sa/3.0/	</v>
    </spb>
    <spb s="0">
      <v xml:space="preserve">Wikipedia	US Census	US Census	</v>
      <v xml:space="preserve">CC-BY-SA			</v>
      <v xml:space="preserve">http://en.wikipedia.org/wiki/Kentucky	https://www.census.gov/popest/data/state/asrh/2014/files/SC-EST2014-AGESEX-CIV.csv	http://www.census.gov/quickfacts/table/WTN220212/21	</v>
      <v xml:space="preserve">http://creativecommons.org/licenses/by-sa/3.0/			</v>
    </spb>
    <spb s="1">
      <v>70</v>
      <v>70</v>
      <v>1</v>
      <v>70</v>
      <v>70</v>
      <v>71</v>
      <v>70</v>
      <v>70</v>
      <v>70</v>
      <v>1</v>
      <v>1</v>
      <v>1</v>
      <v>72</v>
      <v>1</v>
      <v>70</v>
      <v>1</v>
      <v>72</v>
      <v>1</v>
      <v>1</v>
      <v>1</v>
      <v>1</v>
      <v>1</v>
      <v>1</v>
      <v>1</v>
      <v>1</v>
      <v>1</v>
      <v>1</v>
      <v>1</v>
      <v>1</v>
      <v>1</v>
      <v>1</v>
      <v>72</v>
    </spb>
    <spb s="0">
      <v xml:space="preserve">Wikipedia	</v>
      <v xml:space="preserve">CC BY-SA 3.0	</v>
      <v xml:space="preserve">https://es.wikipedia.org/wiki/Luisiana	</v>
      <v xml:space="preserve">https://creativecommons.org/licenses/by-sa/3.0	</v>
    </spb>
    <spb s="0">
      <v xml:space="preserve">Wikipedia	</v>
      <v xml:space="preserve">CC-BY-SA	</v>
      <v xml:space="preserve">http://en.wikipedia.org/wiki/Louisiana	</v>
      <v xml:space="preserve">http://creativecommons.org/licenses/by-sa/3.0/	</v>
    </spb>
    <spb s="0">
      <v xml:space="preserve">Wikipedia	US Census	US Census	</v>
      <v xml:space="preserve">CC-BY-SA			</v>
      <v xml:space="preserve">http://en.wikipedia.org/wiki/Louisiana	https://www.census.gov/popest/data/state/asrh/2014/files/SC-EST2014-AGESEX-CIV.csv	http://www.census.gov/quickfacts/table/WTN220212/22	</v>
      <v xml:space="preserve">http://creativecommons.org/licenses/by-sa/3.0/			</v>
    </spb>
    <spb s="1">
      <v>74</v>
      <v>74</v>
      <v>1</v>
      <v>74</v>
      <v>74</v>
      <v>75</v>
      <v>74</v>
      <v>74</v>
      <v>74</v>
      <v>1</v>
      <v>1</v>
      <v>1</v>
      <v>76</v>
      <v>1</v>
      <v>74</v>
      <v>1</v>
      <v>76</v>
      <v>1</v>
      <v>1</v>
      <v>1</v>
      <v>1</v>
      <v>1</v>
      <v>1</v>
      <v>1</v>
      <v>1</v>
      <v>1</v>
      <v>1</v>
      <v>1</v>
      <v>1</v>
      <v>1</v>
      <v>1</v>
      <v>76</v>
    </spb>
    <spb s="0">
      <v xml:space="preserve">Wikipedia	</v>
      <v xml:space="preserve">CC BY-SA 3.0	</v>
      <v xml:space="preserve">https://es.wikipedia.org/wiki/Maine	</v>
      <v xml:space="preserve">https://creativecommons.org/licenses/by-sa/3.0	</v>
    </spb>
    <spb s="0">
      <v xml:space="preserve">Wikipedia	</v>
      <v xml:space="preserve">CC-BY-SA	</v>
      <v xml:space="preserve">http://en.wikipedia.org/wiki/Maine	</v>
      <v xml:space="preserve">http://creativecommons.org/licenses/by-sa/3.0/	</v>
    </spb>
    <spb s="0">
      <v xml:space="preserve">Wikipedia	US Census	US Census	</v>
      <v xml:space="preserve">CC-BY-SA			</v>
      <v xml:space="preserve">http://en.wikipedia.org/wiki/Maine	https://www.census.gov/popest/data/state/asrh/2014/files/SC-EST2014-AGESEX-CIV.csv	http://www.census.gov/quickfacts/table/WTN220212/23	</v>
      <v xml:space="preserve">http://creativecommons.org/licenses/by-sa/3.0/			</v>
    </spb>
    <spb s="10">
      <v>78</v>
      <v>78</v>
      <v>1</v>
      <v>78</v>
      <v>78</v>
      <v>79</v>
      <v>78</v>
      <v>78</v>
      <v>78</v>
      <v>1</v>
      <v>1</v>
      <v>1</v>
      <v>80</v>
      <v>1</v>
      <v>78</v>
      <v>1</v>
      <v>80</v>
      <v>1</v>
      <v>1</v>
      <v>1</v>
      <v>1</v>
      <v>1</v>
      <v>1</v>
      <v>1</v>
      <v>1</v>
      <v>1</v>
      <v>1</v>
      <v>1</v>
      <v>1</v>
      <v>1</v>
      <v>80</v>
    </spb>
    <spb s="11">
      <v>Area</v>
      <v>Image</v>
      <v>Name</v>
      <v>Households</v>
      <v>Population</v>
      <v>UniqueName</v>
      <v>VDPID/VSID</v>
      <v>Abbreviation</v>
      <v>Description</v>
      <v>Country/region</v>
      <v>LearnMoreOnLink</v>
      <v>Largest city</v>
      <v>Persons per household</v>
      <v>Housing units</v>
      <v>Population: White (%)</v>
      <v>Median gross rent</v>
      <v>Population: Asian (%)</v>
      <v>Capital/Major City</v>
      <v>Building permits</v>
      <v>Median household income</v>
      <v>Population change (%)</v>
      <v>Population: Age 65+ (%)</v>
      <v>Population: Under age 5 (%)</v>
      <v>Population: Hispanic or Latino (%)</v>
      <v>Population: Under age 18 (%)</v>
      <v>Population: Two or more races (%)</v>
      <v>Population: Black or African American (%)</v>
      <v>Population: Bachelor's degree or higher (%)</v>
      <v>Population: Persons with a disability (%)</v>
      <v>Population: In civilian labor force (%)</v>
      <v>Population: High school graduate or higher (%)</v>
      <v>Population: Foreign born persons (%)</v>
      <v>Population: American Indian and Alaskan Native (%)</v>
      <v>Median value, owner-occupied housing units</v>
    </spb>
    <spb s="3">
      <v>2</v>
      <v>Name</v>
      <v>LearnMoreOnLink</v>
    </spb>
    <spb s="12">
      <v>kilómetro cuadrado</v>
      <v>2015</v>
      <v>2024</v>
      <v>2015</v>
      <v>2016</v>
      <v>personas (2015)</v>
      <v>2015</v>
      <v>personas (2015)</v>
      <v>2016</v>
      <v>2015</v>
      <v>2010, 2016</v>
      <v>2015</v>
      <v>2015</v>
      <v>personas (2015)</v>
      <v>2015</v>
      <v>personas (2015)</v>
      <v>personas (2015)</v>
      <v>personas mayores de 25 años, 2015</v>
      <v>menor de 65 años, 2015</v>
      <v>personas mayores de 16 años, 2015</v>
      <v>personas (2015)</v>
      <v>2015</v>
      <v>personas (2015)</v>
      <v>2015</v>
    </spb>
    <spb s="0">
      <v xml:space="preserve">Wikipedia	</v>
      <v xml:space="preserve">CC BY-SA 3.0	</v>
      <v xml:space="preserve">https://es.wikipedia.org/wiki/Maryland	</v>
      <v xml:space="preserve">https://creativecommons.org/licenses/by-sa/3.0	</v>
    </spb>
    <spb s="0">
      <v xml:space="preserve">Wikipedia	</v>
      <v xml:space="preserve">CC-BY-SA	</v>
      <v xml:space="preserve">http://en.wikipedia.org/wiki/Maryland	</v>
      <v xml:space="preserve">http://creativecommons.org/licenses/by-sa/3.0/	</v>
    </spb>
    <spb s="0">
      <v xml:space="preserve">Wikipedia	US Census	US Census	</v>
      <v xml:space="preserve">CC-BY-SA			</v>
      <v xml:space="preserve">http://en.wikipedia.org/wiki/Maryland	https://www.census.gov/popest/data/state/asrh/2014/files/SC-EST2014-AGESEX-CIV.csv	http://www.census.gov/quickfacts/table/WTN220212/24	</v>
      <v xml:space="preserve">http://creativecommons.org/licenses/by-sa/3.0/			</v>
    </spb>
    <spb s="1">
      <v>85</v>
      <v>85</v>
      <v>1</v>
      <v>85</v>
      <v>85</v>
      <v>86</v>
      <v>85</v>
      <v>85</v>
      <v>85</v>
      <v>1</v>
      <v>1</v>
      <v>1</v>
      <v>87</v>
      <v>1</v>
      <v>85</v>
      <v>1</v>
      <v>87</v>
      <v>1</v>
      <v>1</v>
      <v>1</v>
      <v>1</v>
      <v>1</v>
      <v>1</v>
      <v>1</v>
      <v>1</v>
      <v>1</v>
      <v>1</v>
      <v>1</v>
      <v>1</v>
      <v>1</v>
      <v>1</v>
      <v>87</v>
    </spb>
    <spb s="0">
      <v xml:space="preserve">Wikipedia	</v>
      <v xml:space="preserve">CC BY-SA 3.0	</v>
      <v xml:space="preserve">https://es.wikipedia.org/wiki/Massachusetts	</v>
      <v xml:space="preserve">https://creativecommons.org/licenses/by-sa/3.0	</v>
    </spb>
    <spb s="0">
      <v xml:space="preserve">Wikipedia	</v>
      <v xml:space="preserve">CC-BY-SA	</v>
      <v xml:space="preserve">http://en.wikipedia.org/wiki/Massachusetts	</v>
      <v xml:space="preserve">http://creativecommons.org/licenses/by-sa/3.0/	</v>
    </spb>
    <spb s="0">
      <v xml:space="preserve">Wikipedia	US Census	US Census	</v>
      <v xml:space="preserve">CC-BY-SA			</v>
      <v xml:space="preserve">http://en.wikipedia.org/wiki/Massachusetts	https://www.census.gov/popest/data/state/asrh/2014/files/SC-EST2014-AGESEX-CIV.csv	http://www.census.gov/quickfacts/table/WTN220212/25	</v>
      <v xml:space="preserve">http://creativecommons.org/licenses/by-sa/3.0/			</v>
    </spb>
    <spb s="1">
      <v>89</v>
      <v>89</v>
      <v>1</v>
      <v>89</v>
      <v>89</v>
      <v>90</v>
      <v>89</v>
      <v>89</v>
      <v>89</v>
      <v>1</v>
      <v>1</v>
      <v>1</v>
      <v>91</v>
      <v>1</v>
      <v>89</v>
      <v>1</v>
      <v>91</v>
      <v>1</v>
      <v>1</v>
      <v>1</v>
      <v>1</v>
      <v>1</v>
      <v>1</v>
      <v>1</v>
      <v>1</v>
      <v>1</v>
      <v>1</v>
      <v>1</v>
      <v>1</v>
      <v>1</v>
      <v>1</v>
      <v>91</v>
    </spb>
    <spb s="0">
      <v xml:space="preserve">Wikipedia	</v>
      <v xml:space="preserve">CC BY-SA 3.0	</v>
      <v xml:space="preserve">https://es.wikipedia.org/wiki/M%C3%ADchigan	</v>
      <v xml:space="preserve">https://creativecommons.org/licenses/by-sa/3.0	</v>
    </spb>
    <spb s="0">
      <v xml:space="preserve">Wikipedia	</v>
      <v xml:space="preserve">CC-BY-SA	</v>
      <v xml:space="preserve">http://en.wikipedia.org/wiki/Michigan	</v>
      <v xml:space="preserve">http://creativecommons.org/licenses/by-sa/3.0/	</v>
    </spb>
    <spb s="0">
      <v xml:space="preserve">Wikipedia	US Census	US Census	</v>
      <v xml:space="preserve">CC-BY-SA			</v>
      <v xml:space="preserve">http://en.wikipedia.org/wiki/Michigan	https://www.census.gov/popest/data/state/asrh/2014/files/SC-EST2014-AGESEX-CIV.csv	http://www.census.gov/quickfacts/table/WTN220212/26	</v>
      <v xml:space="preserve">http://creativecommons.org/licenses/by-sa/3.0/			</v>
    </spb>
    <spb s="10">
      <v>93</v>
      <v>93</v>
      <v>1</v>
      <v>93</v>
      <v>93</v>
      <v>94</v>
      <v>93</v>
      <v>93</v>
      <v>93</v>
      <v>1</v>
      <v>1</v>
      <v>1</v>
      <v>95</v>
      <v>1</v>
      <v>93</v>
      <v>1</v>
      <v>95</v>
      <v>1</v>
      <v>1</v>
      <v>1</v>
      <v>1</v>
      <v>1</v>
      <v>1</v>
      <v>1</v>
      <v>1</v>
      <v>1</v>
      <v>1</v>
      <v>1</v>
      <v>1</v>
      <v>1</v>
      <v>95</v>
    </spb>
    <spb s="0">
      <v xml:space="preserve">Wikipedia	</v>
      <v xml:space="preserve">CC BY-SA 3.0	</v>
      <v xml:space="preserve">https://es.wikipedia.org/wiki/Minnesota	</v>
      <v xml:space="preserve">https://creativecommons.org/licenses/by-sa/3.0	</v>
    </spb>
    <spb s="0">
      <v xml:space="preserve">Wikipedia	</v>
      <v xml:space="preserve">CC-BY-SA	</v>
      <v xml:space="preserve">http://en.wikipedia.org/wiki/Minnesota	</v>
      <v xml:space="preserve">http://creativecommons.org/licenses/by-sa/3.0/	</v>
    </spb>
    <spb s="0">
      <v xml:space="preserve">Wikipedia	US Census	US Census	</v>
      <v xml:space="preserve">CC-BY-SA			</v>
      <v xml:space="preserve">http://en.wikipedia.org/wiki/Minnesota	https://www.census.gov/popest/data/state/asrh/2014/files/SC-EST2014-AGESEX-CIV.csv	http://www.census.gov/quickfacts/table/WTN220212/27	</v>
      <v xml:space="preserve">http://creativecommons.org/licenses/by-sa/3.0/			</v>
    </spb>
    <spb s="1">
      <v>97</v>
      <v>97</v>
      <v>1</v>
      <v>97</v>
      <v>97</v>
      <v>98</v>
      <v>97</v>
      <v>97</v>
      <v>97</v>
      <v>1</v>
      <v>1</v>
      <v>1</v>
      <v>99</v>
      <v>1</v>
      <v>97</v>
      <v>1</v>
      <v>99</v>
      <v>1</v>
      <v>1</v>
      <v>1</v>
      <v>1</v>
      <v>1</v>
      <v>1</v>
      <v>1</v>
      <v>1</v>
      <v>1</v>
      <v>1</v>
      <v>1</v>
      <v>1</v>
      <v>1</v>
      <v>1</v>
      <v>99</v>
    </spb>
    <spb s="0">
      <v xml:space="preserve">Wikipedia	</v>
      <v xml:space="preserve">CC BY-SA 3.0	</v>
      <v xml:space="preserve">https://es.wikipedia.org/wiki/Misisipi	</v>
      <v xml:space="preserve">https://creativecommons.org/licenses/by-sa/3.0	</v>
    </spb>
    <spb s="0">
      <v xml:space="preserve">Wikipedia	</v>
      <v xml:space="preserve">CC-BY-SA	</v>
      <v xml:space="preserve">http://en.wikipedia.org/wiki/Mississippi	</v>
      <v xml:space="preserve">http://creativecommons.org/licenses/by-sa/3.0/	</v>
    </spb>
    <spb s="0">
      <v xml:space="preserve">Wikipedia	US Census	US Census	</v>
      <v xml:space="preserve">CC-BY-SA			</v>
      <v xml:space="preserve">http://en.wikipedia.org/wiki/Mississippi	https://www.census.gov/popest/data/state/asrh/2014/files/SC-EST2014-AGESEX-CIV.csv	http://www.census.gov/quickfacts/table/WTN220212/28	</v>
      <v xml:space="preserve">http://creativecommons.org/licenses/by-sa/3.0/			</v>
    </spb>
    <spb s="1">
      <v>101</v>
      <v>101</v>
      <v>1</v>
      <v>101</v>
      <v>101</v>
      <v>102</v>
      <v>101</v>
      <v>101</v>
      <v>101</v>
      <v>1</v>
      <v>1</v>
      <v>1</v>
      <v>103</v>
      <v>1</v>
      <v>101</v>
      <v>1</v>
      <v>103</v>
      <v>1</v>
      <v>1</v>
      <v>1</v>
      <v>1</v>
      <v>1</v>
      <v>1</v>
      <v>1</v>
      <v>1</v>
      <v>1</v>
      <v>1</v>
      <v>1</v>
      <v>1</v>
      <v>1</v>
      <v>1</v>
      <v>103</v>
    </spb>
    <spb s="0">
      <v xml:space="preserve">Wikipedia	</v>
      <v xml:space="preserve">CC BY-SA 3.0	</v>
      <v xml:space="preserve">https://es.wikipedia.org/wiki/Misuri	</v>
      <v xml:space="preserve">https://creativecommons.org/licenses/by-sa/3.0	</v>
    </spb>
    <spb s="0">
      <v xml:space="preserve">Wikipedia	</v>
      <v xml:space="preserve">CC-BY-SA	</v>
      <v xml:space="preserve">http://en.wikipedia.org/wiki/Missouri	</v>
      <v xml:space="preserve">http://creativecommons.org/licenses/by-sa/3.0/	</v>
    </spb>
    <spb s="0">
      <v xml:space="preserve">Wikipedia	US Census	US Census	</v>
      <v xml:space="preserve">CC-BY-SA			</v>
      <v xml:space="preserve">http://en.wikipedia.org/wiki/Missouri	https://www.census.gov/popest/data/state/asrh/2014/files/SC-EST2014-AGESEX-CIV.csv	http://www.census.gov/quickfacts/table/WTN220212/29	</v>
      <v xml:space="preserve">http://creativecommons.org/licenses/by-sa/3.0/			</v>
    </spb>
    <spb s="1">
      <v>105</v>
      <v>105</v>
      <v>1</v>
      <v>105</v>
      <v>105</v>
      <v>106</v>
      <v>105</v>
      <v>105</v>
      <v>105</v>
      <v>1</v>
      <v>1</v>
      <v>1</v>
      <v>107</v>
      <v>1</v>
      <v>105</v>
      <v>1</v>
      <v>107</v>
      <v>1</v>
      <v>1</v>
      <v>1</v>
      <v>1</v>
      <v>1</v>
      <v>1</v>
      <v>1</v>
      <v>1</v>
      <v>1</v>
      <v>1</v>
      <v>1</v>
      <v>1</v>
      <v>1</v>
      <v>1</v>
      <v>107</v>
    </spb>
    <spb s="0">
      <v xml:space="preserve">Wikipedia	</v>
      <v xml:space="preserve">CC BY-SA 3.0	</v>
      <v xml:space="preserve">https://es.wikipedia.org/wiki/Montana	</v>
      <v xml:space="preserve">https://creativecommons.org/licenses/by-sa/3.0	</v>
    </spb>
    <spb s="0">
      <v xml:space="preserve">Wikipedia	</v>
      <v xml:space="preserve">CC-BY-SA	</v>
      <v xml:space="preserve">http://en.wikipedia.org/wiki/Montana	</v>
      <v xml:space="preserve">http://creativecommons.org/licenses/by-sa/3.0/	</v>
    </spb>
    <spb s="0">
      <v xml:space="preserve">Wikipedia	US Census	US Census	</v>
      <v xml:space="preserve">CC-BY-SA			</v>
      <v xml:space="preserve">http://en.wikipedia.org/wiki/Montana	https://www.census.gov/popest/data/state/asrh/2014/files/SC-EST2014-AGESEX-CIV.csv	http://www.census.gov/quickfacts/table/lnd110210/30	</v>
      <v xml:space="preserve">http://creativecommons.org/licenses/by-sa/3.0/			</v>
    </spb>
    <spb s="1">
      <v>109</v>
      <v>109</v>
      <v>1</v>
      <v>109</v>
      <v>109</v>
      <v>110</v>
      <v>109</v>
      <v>109</v>
      <v>109</v>
      <v>1</v>
      <v>1</v>
      <v>1</v>
      <v>111</v>
      <v>1</v>
      <v>109</v>
      <v>1</v>
      <v>111</v>
      <v>1</v>
      <v>1</v>
      <v>1</v>
      <v>1</v>
      <v>1</v>
      <v>1</v>
      <v>1</v>
      <v>1</v>
      <v>1</v>
      <v>1</v>
      <v>1</v>
      <v>1</v>
      <v>1</v>
      <v>1</v>
      <v>111</v>
    </spb>
    <spb s="0">
      <v xml:space="preserve">Wikipedia	</v>
      <v xml:space="preserve">CC BY-SA 3.0	</v>
      <v xml:space="preserve">https://es.wikipedia.org/wiki/Nebraska	</v>
      <v xml:space="preserve">https://creativecommons.org/licenses/by-sa/3.0	</v>
    </spb>
    <spb s="0">
      <v xml:space="preserve">Wikipedia	</v>
      <v xml:space="preserve">CC-BY-SA	</v>
      <v xml:space="preserve">http://en.wikipedia.org/wiki/Nebraska	</v>
      <v xml:space="preserve">http://creativecommons.org/licenses/by-sa/3.0/	</v>
    </spb>
    <spb s="0">
      <v xml:space="preserve">Wikipedia	US Census	LinkedIn	</v>
      <v xml:space="preserve">CC-BY-SA			</v>
      <v xml:space="preserve">http://en.wikipedia.org/wiki/Nebraska	https://www.census.gov/popest/data/state/asrh/2014/files/SC-EST2014-AGESEX-CIV.csv	https://www.linkedin.com/company/audubon-nebraska	</v>
      <v xml:space="preserve">http://creativecommons.org/licenses/by-sa/3.0/			</v>
    </spb>
    <spb s="1">
      <v>113</v>
      <v>113</v>
      <v>1</v>
      <v>113</v>
      <v>113</v>
      <v>114</v>
      <v>113</v>
      <v>113</v>
      <v>113</v>
      <v>1</v>
      <v>1</v>
      <v>1</v>
      <v>115</v>
      <v>1</v>
      <v>113</v>
      <v>1</v>
      <v>115</v>
      <v>1</v>
      <v>1</v>
      <v>1</v>
      <v>1</v>
      <v>1</v>
      <v>1</v>
      <v>1</v>
      <v>1</v>
      <v>1</v>
      <v>1</v>
      <v>1</v>
      <v>1</v>
      <v>1</v>
      <v>1</v>
      <v>115</v>
    </spb>
    <spb s="0">
      <v xml:space="preserve">Wikipedia	</v>
      <v xml:space="preserve">CC BY-SA 3.0	</v>
      <v xml:space="preserve">https://es.wikipedia.org/wiki/Nevada	</v>
      <v xml:space="preserve">https://creativecommons.org/licenses/by-sa/3.0	</v>
    </spb>
    <spb s="0">
      <v xml:space="preserve">Wikipedia	</v>
      <v xml:space="preserve">CC-BY-SA	</v>
      <v xml:space="preserve">http://en.wikipedia.org/wiki/Nevada	</v>
      <v xml:space="preserve">http://creativecommons.org/licenses/by-sa/3.0/	</v>
    </spb>
    <spb s="0">
      <v xml:space="preserve">Wikipedia	US Census	US Census	</v>
      <v xml:space="preserve">CC-BY-SA			</v>
      <v xml:space="preserve">http://en.wikipedia.org/wiki/Nevada	https://www.census.gov/popest/data/state/asrh/2014/files/SC-EST2014-AGESEX-CIV.csv	http://www.census.gov/quickfacts/table/WTN220212/32	</v>
      <v xml:space="preserve">http://creativecommons.org/licenses/by-sa/3.0/			</v>
    </spb>
    <spb s="1">
      <v>117</v>
      <v>117</v>
      <v>1</v>
      <v>117</v>
      <v>117</v>
      <v>118</v>
      <v>117</v>
      <v>117</v>
      <v>117</v>
      <v>1</v>
      <v>1</v>
      <v>1</v>
      <v>119</v>
      <v>1</v>
      <v>117</v>
      <v>1</v>
      <v>119</v>
      <v>1</v>
      <v>1</v>
      <v>1</v>
      <v>1</v>
      <v>1</v>
      <v>1</v>
      <v>1</v>
      <v>1</v>
      <v>1</v>
      <v>1</v>
      <v>1</v>
      <v>1</v>
      <v>1</v>
      <v>1</v>
      <v>119</v>
    </spb>
    <spb s="0">
      <v xml:space="preserve">Wikipedia	</v>
      <v xml:space="preserve">CC BY-SA 3.0	</v>
      <v xml:space="preserve">https://es.wikipedia.org/wiki/Nuevo_Hampshire	</v>
      <v xml:space="preserve">https://creativecommons.org/licenses/by-sa/3.0	</v>
    </spb>
    <spb s="0">
      <v xml:space="preserve">Wikipedia	</v>
      <v xml:space="preserve">CC-BY-SA	</v>
      <v xml:space="preserve">http://en.wikipedia.org/wiki/New_Hampshire	</v>
      <v xml:space="preserve">http://creativecommons.org/licenses/by-sa/3.0/	</v>
    </spb>
    <spb s="0">
      <v xml:space="preserve">Wikipedia	US Census	Bookdepository	</v>
      <v xml:space="preserve">CC-BY-SA			</v>
      <v xml:space="preserve">http://en.wikipedia.org/wiki/New_Hampshire	https://www.census.gov/popest/data/state/asrh/2014/files/SC-EST2014-AGESEX-CIV.csv	https://www.bookdepository.com/author/New-Hampshire	</v>
      <v xml:space="preserve">http://creativecommons.org/licenses/by-sa/3.0/			</v>
    </spb>
    <spb s="10">
      <v>121</v>
      <v>121</v>
      <v>1</v>
      <v>121</v>
      <v>121</v>
      <v>122</v>
      <v>121</v>
      <v>121</v>
      <v>121</v>
      <v>1</v>
      <v>1</v>
      <v>1</v>
      <v>123</v>
      <v>1</v>
      <v>121</v>
      <v>1</v>
      <v>123</v>
      <v>1</v>
      <v>1</v>
      <v>1</v>
      <v>1</v>
      <v>1</v>
      <v>1</v>
      <v>1</v>
      <v>1</v>
      <v>1</v>
      <v>1</v>
      <v>1</v>
      <v>1</v>
      <v>1</v>
      <v>123</v>
    </spb>
    <spb s="3">
      <v>3</v>
      <v>Name</v>
      <v>LearnMoreOnLink</v>
    </spb>
    <spb s="0">
      <v xml:space="preserve">Wikipedia	</v>
      <v xml:space="preserve">CC BY-SA 3.0	</v>
      <v xml:space="preserve">https://es.wikipedia.org/wiki/Nueva_Jersey	</v>
      <v xml:space="preserve">https://creativecommons.org/licenses/by-sa/3.0	</v>
    </spb>
    <spb s="0">
      <v xml:space="preserve">Wikipedia	</v>
      <v xml:space="preserve">CC-BY-SA	</v>
      <v xml:space="preserve">http://en.wikipedia.org/wiki/New_Jersey	</v>
      <v xml:space="preserve">http://creativecommons.org/licenses/by-sa/3.0/	</v>
    </spb>
    <spb s="0">
      <v xml:space="preserve">Wikipedia	US Census	US Census	</v>
      <v xml:space="preserve">CC-BY-SA			</v>
      <v xml:space="preserve">http://en.wikipedia.org/wiki/New_Jersey	https://www.census.gov/popest/data/state/asrh/2014/files/SC-EST2014-AGESEX-CIV.csv	http://www.census.gov/quickfacts/table/WTN220212/34	</v>
      <v xml:space="preserve">http://creativecommons.org/licenses/by-sa/3.0/			</v>
    </spb>
    <spb s="1">
      <v>126</v>
      <v>126</v>
      <v>1</v>
      <v>126</v>
      <v>126</v>
      <v>127</v>
      <v>126</v>
      <v>126</v>
      <v>126</v>
      <v>1</v>
      <v>1</v>
      <v>1</v>
      <v>128</v>
      <v>1</v>
      <v>126</v>
      <v>1</v>
      <v>128</v>
      <v>1</v>
      <v>1</v>
      <v>1</v>
      <v>1</v>
      <v>1</v>
      <v>1</v>
      <v>1</v>
      <v>1</v>
      <v>1</v>
      <v>1</v>
      <v>1</v>
      <v>1</v>
      <v>1</v>
      <v>1</v>
      <v>128</v>
    </spb>
    <spb s="8">
      <v>kilómetro cuadrado</v>
      <v>2015</v>
      <v>2020</v>
      <v>2015</v>
      <v>2016</v>
      <v>personas (2015)</v>
      <v>2015</v>
      <v>personas (2015)</v>
      <v>2016</v>
      <v>2015</v>
      <v>2010, 2016</v>
      <v>2015</v>
      <v>2015</v>
      <v>personas (2015)</v>
      <v>2015</v>
      <v>personas (2015)</v>
      <v>personas (2015)</v>
      <v>personas mayores de 25 años, 2015</v>
      <v>menor de 65 años, 2015</v>
      <v>personas mayores de 16 años, 2015</v>
      <v>personas (2015)</v>
      <v>2015</v>
      <v>personas (2015)</v>
      <v>personas (2015)</v>
      <v>2015</v>
    </spb>
    <spb s="0">
      <v xml:space="preserve">Wikipedia	</v>
      <v xml:space="preserve">CC BY-SA 3.0	</v>
      <v xml:space="preserve">https://es.wikipedia.org/wiki/Nuevo_M%C3%A9xico	</v>
      <v xml:space="preserve">https://creativecommons.org/licenses/by-sa/3.0	</v>
    </spb>
    <spb s="0">
      <v xml:space="preserve">Wikipedia	</v>
      <v xml:space="preserve">CC-BY-SA	</v>
      <v xml:space="preserve">http://en.wikipedia.org/wiki/New_Mexico	</v>
      <v xml:space="preserve">http://creativecommons.org/licenses/by-sa/3.0/	</v>
    </spb>
    <spb s="0">
      <v xml:space="preserve">Wikipedia	US Census	US Census	</v>
      <v xml:space="preserve">CC-BY-SA			</v>
      <v xml:space="preserve">http://en.wikipedia.org/wiki/New_Mexico	https://www.census.gov/popest/data/state/asrh/2014/files/SC-EST2014-AGESEX-CIV.csv	http://www.census.gov/quickfacts/table/WTN220212/35	</v>
      <v xml:space="preserve">http://creativecommons.org/licenses/by-sa/3.0/			</v>
    </spb>
    <spb s="1">
      <v>131</v>
      <v>131</v>
      <v>1</v>
      <v>131</v>
      <v>131</v>
      <v>132</v>
      <v>131</v>
      <v>131</v>
      <v>131</v>
      <v>1</v>
      <v>1</v>
      <v>1</v>
      <v>133</v>
      <v>1</v>
      <v>131</v>
      <v>1</v>
      <v>133</v>
      <v>1</v>
      <v>1</v>
      <v>1</v>
      <v>1</v>
      <v>1</v>
      <v>1</v>
      <v>1</v>
      <v>1</v>
      <v>1</v>
      <v>1</v>
      <v>1</v>
      <v>1</v>
      <v>1</v>
      <v>1</v>
      <v>133</v>
    </spb>
    <spb s="0">
      <v xml:space="preserve">Wikipedia	</v>
      <v xml:space="preserve">CC BY-SA 3.0	</v>
      <v xml:space="preserve">https://es.wikipedia.org/wiki/Nueva_York_(estado)	</v>
      <v xml:space="preserve">https://creativecommons.org/licenses/by-sa/3.0	</v>
    </spb>
    <spb s="0">
      <v xml:space="preserve">Wikipedia	</v>
      <v xml:space="preserve">CC-BY-SA	</v>
      <v xml:space="preserve">http://en.wikipedia.org/wiki/New_York_(state)	</v>
      <v xml:space="preserve">http://creativecommons.org/licenses/by-sa/3.0/	</v>
    </spb>
    <spb s="0">
      <v xml:space="preserve">Wikipedia	Wikipedia	US Census	US Census	</v>
      <v xml:space="preserve">CC-BY-SA	CC-BY-SA			</v>
      <v xml:space="preserve">http://en.wikipedia.org/wiki/New_York_(state)	http://en.wikipedia.org/wiki/New_York	https://www.census.gov/popest/data/state/asrh/2014/files/SC-EST2014-AGESEX-CIV.csv	http://www.census.gov/quickfacts/table/WTN220212/36	</v>
      <v xml:space="preserve">http://creativecommons.org/licenses/by-sa/3.0/	http://creativecommons.org/licenses/by-sa/3.0/			</v>
    </spb>
    <spb s="1">
      <v>135</v>
      <v>135</v>
      <v>1</v>
      <v>135</v>
      <v>135</v>
      <v>136</v>
      <v>135</v>
      <v>135</v>
      <v>135</v>
      <v>1</v>
      <v>1</v>
      <v>1</v>
      <v>137</v>
      <v>1</v>
      <v>135</v>
      <v>1</v>
      <v>137</v>
      <v>1</v>
      <v>1</v>
      <v>1</v>
      <v>1</v>
      <v>1</v>
      <v>1</v>
      <v>1</v>
      <v>1</v>
      <v>1</v>
      <v>1</v>
      <v>1</v>
      <v>1</v>
      <v>1</v>
      <v>1</v>
      <v>137</v>
    </spb>
    <spb s="0">
      <v xml:space="preserve">Wikipedia	</v>
      <v xml:space="preserve">CC BY-SA 3.0	</v>
      <v xml:space="preserve">https://es.wikipedia.org/wiki/Carolina_del_Norte	</v>
      <v xml:space="preserve">https://creativecommons.org/licenses/by-sa/3.0	</v>
    </spb>
    <spb s="0">
      <v xml:space="preserve">Wikipedia	</v>
      <v xml:space="preserve">CC-BY-SA	</v>
      <v xml:space="preserve">http://en.wikipedia.org/wiki/North_Carolina	</v>
      <v xml:space="preserve">http://creativecommons.org/licenses/by-sa/3.0/	</v>
    </spb>
    <spb s="0">
      <v xml:space="preserve">Wikipedia	US Census	US Census	</v>
      <v xml:space="preserve">CC-BY-SA			</v>
      <v xml:space="preserve">http://en.wikipedia.org/wiki/North_Carolina	https://www.census.gov/popest/data/state/asrh/2014/files/SC-EST2014-AGESEX-CIV.csv	http://www.census.gov/quickfacts/table/WTN220212/37	</v>
      <v xml:space="preserve">http://creativecommons.org/licenses/by-sa/3.0/			</v>
    </spb>
    <spb s="1">
      <v>139</v>
      <v>139</v>
      <v>1</v>
      <v>139</v>
      <v>139</v>
      <v>140</v>
      <v>139</v>
      <v>139</v>
      <v>139</v>
      <v>1</v>
      <v>1</v>
      <v>1</v>
      <v>141</v>
      <v>1</v>
      <v>139</v>
      <v>1</v>
      <v>141</v>
      <v>1</v>
      <v>1</v>
      <v>1</v>
      <v>1</v>
      <v>1</v>
      <v>1</v>
      <v>1</v>
      <v>1</v>
      <v>1</v>
      <v>1</v>
      <v>1</v>
      <v>1</v>
      <v>1</v>
      <v>1</v>
      <v>141</v>
    </spb>
    <spb s="0">
      <v xml:space="preserve">Wikipedia	</v>
      <v xml:space="preserve">CC BY-SA 3.0	</v>
      <v xml:space="preserve">https://es.wikipedia.org/wiki/Dakota_del_Norte	</v>
      <v xml:space="preserve">https://creativecommons.org/licenses/by-sa/3.0	</v>
    </spb>
    <spb s="0">
      <v xml:space="preserve">Wikipedia	</v>
      <v xml:space="preserve">CC-BY-SA	</v>
      <v xml:space="preserve">http://en.wikipedia.org/wiki/North_Dakota	</v>
      <v xml:space="preserve">http://creativecommons.org/licenses/by-sa/3.0/	</v>
    </spb>
    <spb s="0">
      <v xml:space="preserve">Wikipedia	US Census	US Census	</v>
      <v xml:space="preserve">CC-BY-SA			</v>
      <v xml:space="preserve">http://en.wikipedia.org/wiki/North_Dakota	https://www.census.gov/popest/data/state/asrh/2014/files/SC-EST2014-AGESEX-CIV.csv	http://www.census.gov/quickfacts/table/VET605214/38	</v>
      <v xml:space="preserve">http://creativecommons.org/licenses/by-sa/3.0/			</v>
    </spb>
    <spb s="1">
      <v>143</v>
      <v>143</v>
      <v>1</v>
      <v>143</v>
      <v>143</v>
      <v>144</v>
      <v>143</v>
      <v>143</v>
      <v>143</v>
      <v>1</v>
      <v>1</v>
      <v>1</v>
      <v>145</v>
      <v>1</v>
      <v>143</v>
      <v>1</v>
      <v>145</v>
      <v>1</v>
      <v>1</v>
      <v>1</v>
      <v>1</v>
      <v>1</v>
      <v>1</v>
      <v>1</v>
      <v>1</v>
      <v>1</v>
      <v>1</v>
      <v>1</v>
      <v>1</v>
      <v>1</v>
      <v>1</v>
      <v>145</v>
    </spb>
    <spb s="0">
      <v xml:space="preserve">Wikipedia	</v>
      <v xml:space="preserve">CC BY-SA 3.0	</v>
      <v xml:space="preserve">https://es.wikipedia.org/wiki/Ohio	</v>
      <v xml:space="preserve">https://creativecommons.org/licenses/by-sa/3.0	</v>
    </spb>
    <spb s="0">
      <v xml:space="preserve">Wikipedia	</v>
      <v xml:space="preserve">CC-BY-SA	</v>
      <v xml:space="preserve">http://en.wikipedia.org/wiki/Ohio	</v>
      <v xml:space="preserve">http://creativecommons.org/licenses/by-sa/3.0/	</v>
    </spb>
    <spb s="0">
      <v xml:space="preserve">Wikipedia	US Census	US Census	</v>
      <v xml:space="preserve">CC-BY-SA			</v>
      <v xml:space="preserve">http://en.wikipedia.org/wiki/Ohio	https://www.census.gov/popest/data/state/asrh/2014/files/SC-EST2014-AGESEX-CIV.csv	http://www.census.gov/quickfacts/table/WTN220212/39	</v>
      <v xml:space="preserve">http://creativecommons.org/licenses/by-sa/3.0/			</v>
    </spb>
    <spb s="1">
      <v>147</v>
      <v>147</v>
      <v>1</v>
      <v>147</v>
      <v>147</v>
      <v>148</v>
      <v>147</v>
      <v>147</v>
      <v>147</v>
      <v>1</v>
      <v>1</v>
      <v>1</v>
      <v>149</v>
      <v>1</v>
      <v>147</v>
      <v>1</v>
      <v>149</v>
      <v>1</v>
      <v>1</v>
      <v>1</v>
      <v>1</v>
      <v>1</v>
      <v>1</v>
      <v>1</v>
      <v>1</v>
      <v>1</v>
      <v>1</v>
      <v>1</v>
      <v>1</v>
      <v>1</v>
      <v>1</v>
      <v>149</v>
    </spb>
    <spb s="0">
      <v xml:space="preserve">Wikipedia	</v>
      <v xml:space="preserve">CC BY-SA 3.0	</v>
      <v xml:space="preserve">https://es.wikipedia.org/wiki/Oklahoma	</v>
      <v xml:space="preserve">https://creativecommons.org/licenses/by-sa/3.0	</v>
    </spb>
    <spb s="0">
      <v xml:space="preserve">Wikipedia	</v>
      <v xml:space="preserve">CC-BY-SA	</v>
      <v xml:space="preserve">http://en.wikipedia.org/wiki/Oklahoma	</v>
      <v xml:space="preserve">http://creativecommons.org/licenses/by-sa/3.0/	</v>
    </spb>
    <spb s="0">
      <v xml:space="preserve">Wikipedia	US Census	US Census	</v>
      <v xml:space="preserve">CC-BY-SA			</v>
      <v xml:space="preserve">http://en.wikipedia.org/wiki/Oklahoma	https://www.census.gov/popest/data/state/asrh/2014/files/SC-EST2014-AGESEX-CIV.csv	http://www.census.gov/quickfacts/table/WTN220212/40	</v>
      <v xml:space="preserve">http://creativecommons.org/licenses/by-sa/3.0/			</v>
    </spb>
    <spb s="1">
      <v>151</v>
      <v>151</v>
      <v>1</v>
      <v>151</v>
      <v>151</v>
      <v>152</v>
      <v>151</v>
      <v>151</v>
      <v>151</v>
      <v>1</v>
      <v>1</v>
      <v>1</v>
      <v>153</v>
      <v>1</v>
      <v>151</v>
      <v>1</v>
      <v>153</v>
      <v>1</v>
      <v>1</v>
      <v>1</v>
      <v>1</v>
      <v>1</v>
      <v>1</v>
      <v>1</v>
      <v>1</v>
      <v>1</v>
      <v>1</v>
      <v>1</v>
      <v>1</v>
      <v>1</v>
      <v>1</v>
      <v>153</v>
    </spb>
    <spb s="0">
      <v xml:space="preserve">Wikipedia	</v>
      <v xml:space="preserve">CC BY-SA 3.0	</v>
      <v xml:space="preserve">https://es.wikipedia.org/wiki/Oreg%C3%B3n	</v>
      <v xml:space="preserve">https://creativecommons.org/licenses/by-sa/3.0	</v>
    </spb>
    <spb s="0">
      <v xml:space="preserve">Wikipedia	</v>
      <v xml:space="preserve">CC-BY-SA	</v>
      <v xml:space="preserve">http://en.wikipedia.org/wiki/Oregon	</v>
      <v xml:space="preserve">http://creativecommons.org/licenses/by-sa/3.0/	</v>
    </spb>
    <spb s="0">
      <v xml:space="preserve">Wikipedia	US Census	US Census	</v>
      <v xml:space="preserve">CC-BY-SA			</v>
      <v xml:space="preserve">http://en.wikipedia.org/wiki/Oregon	https://www.census.gov/popest/data/state/asrh/2014/files/SC-EST2014-AGESEX-CIV.csv	http://www.census.gov/quickfacts/table/WTN220212/41	</v>
      <v xml:space="preserve">http://creativecommons.org/licenses/by-sa/3.0/			</v>
    </spb>
    <spb s="1">
      <v>155</v>
      <v>155</v>
      <v>1</v>
      <v>155</v>
      <v>155</v>
      <v>156</v>
      <v>155</v>
      <v>155</v>
      <v>155</v>
      <v>1</v>
      <v>1</v>
      <v>1</v>
      <v>157</v>
      <v>1</v>
      <v>155</v>
      <v>1</v>
      <v>157</v>
      <v>1</v>
      <v>1</v>
      <v>1</v>
      <v>1</v>
      <v>1</v>
      <v>1</v>
      <v>1</v>
      <v>1</v>
      <v>1</v>
      <v>1</v>
      <v>1</v>
      <v>1</v>
      <v>1</v>
      <v>1</v>
      <v>157</v>
    </spb>
    <spb s="0">
      <v xml:space="preserve">Wikipedia	</v>
      <v xml:space="preserve">CC BY-SA 3.0	</v>
      <v xml:space="preserve">https://es.wikipedia.org/wiki/Pensilvania	</v>
      <v xml:space="preserve">https://creativecommons.org/licenses/by-sa/3.0	</v>
    </spb>
    <spb s="0">
      <v xml:space="preserve">Wikipedia	</v>
      <v xml:space="preserve">CC-BY-SA	</v>
      <v xml:space="preserve">http://en.wikipedia.org/wiki/Pennsylvania	</v>
      <v xml:space="preserve">http://creativecommons.org/licenses/by-sa/3.0/	</v>
    </spb>
    <spb s="0">
      <v xml:space="preserve">Wikipedia	US Census	US Census	</v>
      <v xml:space="preserve">CC-BY-SA			</v>
      <v xml:space="preserve">http://en.wikipedia.org/wiki/Pennsylvania	https://www.census.gov/popest/data/state/asrh/2014/files/SC-EST2014-AGESEX-CIV.csv	http://www.census.gov/quickfacts/table/WTN220212/42	</v>
      <v xml:space="preserve">http://creativecommons.org/licenses/by-sa/3.0/			</v>
    </spb>
    <spb s="1">
      <v>159</v>
      <v>159</v>
      <v>1</v>
      <v>159</v>
      <v>159</v>
      <v>160</v>
      <v>159</v>
      <v>159</v>
      <v>159</v>
      <v>1</v>
      <v>1</v>
      <v>1</v>
      <v>161</v>
      <v>1</v>
      <v>159</v>
      <v>1</v>
      <v>161</v>
      <v>1</v>
      <v>1</v>
      <v>1</v>
      <v>1</v>
      <v>1</v>
      <v>1</v>
      <v>1</v>
      <v>1</v>
      <v>1</v>
      <v>1</v>
      <v>1</v>
      <v>1</v>
      <v>1</v>
      <v>1</v>
      <v>161</v>
    </spb>
    <spb s="0">
      <v xml:space="preserve">Wikipedia	</v>
      <v xml:space="preserve">CC BY-SA 3.0	</v>
      <v xml:space="preserve">https://es.wikipedia.org/wiki/Rhode_Island	</v>
      <v xml:space="preserve">https://creativecommons.org/licenses/by-sa/3.0	</v>
    </spb>
    <spb s="0">
      <v xml:space="preserve">Wikipedia	</v>
      <v xml:space="preserve">CC-BY-SA	</v>
      <v xml:space="preserve">http://en.wikipedia.org/wiki/Rhode_Island	</v>
      <v xml:space="preserve">http://creativecommons.org/licenses/by-sa/3.0/	</v>
    </spb>
    <spb s="0">
      <v xml:space="preserve">Wikipedia	US Census	US Census	</v>
      <v xml:space="preserve">CC-BY-SA			</v>
      <v xml:space="preserve">http://en.wikipedia.org/wiki/Rhode_Island	https://www.census.gov/popest/data/state/asrh/2014/files/SC-EST2014-AGESEX-CIV.csv	http://www.census.gov/quickfacts/table/WTN220212/44	</v>
      <v xml:space="preserve">http://creativecommons.org/licenses/by-sa/3.0/			</v>
    </spb>
    <spb s="1">
      <v>163</v>
      <v>163</v>
      <v>1</v>
      <v>163</v>
      <v>163</v>
      <v>164</v>
      <v>163</v>
      <v>163</v>
      <v>163</v>
      <v>1</v>
      <v>1</v>
      <v>1</v>
      <v>165</v>
      <v>1</v>
      <v>163</v>
      <v>1</v>
      <v>165</v>
      <v>1</v>
      <v>1</v>
      <v>1</v>
      <v>1</v>
      <v>1</v>
      <v>1</v>
      <v>1</v>
      <v>1</v>
      <v>1</v>
      <v>1</v>
      <v>1</v>
      <v>1</v>
      <v>1</v>
      <v>1</v>
      <v>165</v>
    </spb>
    <spb s="0">
      <v xml:space="preserve">Wikipedia	</v>
      <v xml:space="preserve">CC BY-SA 3.0	</v>
      <v xml:space="preserve">https://es.wikipedia.org/wiki/Carolina_del_Sur	</v>
      <v xml:space="preserve">https://creativecommons.org/licenses/by-sa/3.0	</v>
    </spb>
    <spb s="0">
      <v xml:space="preserve">Wikipedia	</v>
      <v xml:space="preserve">CC-BY-SA	</v>
      <v xml:space="preserve">http://en.wikipedia.org/wiki/South_Carolina	</v>
      <v xml:space="preserve">http://creativecommons.org/licenses/by-sa/3.0/	</v>
    </spb>
    <spb s="0">
      <v xml:space="preserve">Wikipedia	US Census	US Census	</v>
      <v xml:space="preserve">CC-BY-SA			</v>
      <v xml:space="preserve">http://en.wikipedia.org/wiki/South_Carolina	https://www.census.gov/popest/data/state/asrh/2014/files/SC-EST2014-AGESEX-CIV.csv	http://www.census.gov/quickfacts/table/WTN220212/45	</v>
      <v xml:space="preserve">http://creativecommons.org/licenses/by-sa/3.0/			</v>
    </spb>
    <spb s="1">
      <v>167</v>
      <v>167</v>
      <v>1</v>
      <v>167</v>
      <v>167</v>
      <v>168</v>
      <v>167</v>
      <v>167</v>
      <v>167</v>
      <v>1</v>
      <v>1</v>
      <v>1</v>
      <v>169</v>
      <v>1</v>
      <v>167</v>
      <v>1</v>
      <v>169</v>
      <v>1</v>
      <v>1</v>
      <v>1</v>
      <v>1</v>
      <v>1</v>
      <v>1</v>
      <v>1</v>
      <v>1</v>
      <v>1</v>
      <v>1</v>
      <v>1</v>
      <v>1</v>
      <v>1</v>
      <v>1</v>
      <v>169</v>
    </spb>
    <spb s="0">
      <v xml:space="preserve">Wikipedia	</v>
      <v xml:space="preserve">CC BY-SA 3.0	</v>
      <v xml:space="preserve">https://es.wikipedia.org/wiki/Dakota_del_Sur	</v>
      <v xml:space="preserve">https://creativecommons.org/licenses/by-sa/3.0	</v>
    </spb>
    <spb s="0">
      <v xml:space="preserve">Wikipedia	</v>
      <v xml:space="preserve">CC-BY-SA	</v>
      <v xml:space="preserve">http://en.wikipedia.org/wiki/South_Dakota	</v>
      <v xml:space="preserve">http://creativecommons.org/licenses/by-sa/3.0/	</v>
    </spb>
    <spb s="0">
      <v xml:space="preserve">Wikipedia	US Census	US Census	</v>
      <v xml:space="preserve">CC-BY-SA			</v>
      <v xml:space="preserve">http://en.wikipedia.org/wiki/South_Dakota	https://www.census.gov/popest/data/state/asrh/2014/files/SC-EST2014-AGESEX-CIV.csv	http://www.census.gov/quickfacts/table/WTN220212/46	</v>
      <v xml:space="preserve">http://creativecommons.org/licenses/by-sa/3.0/			</v>
    </spb>
    <spb s="1">
      <v>171</v>
      <v>171</v>
      <v>1</v>
      <v>171</v>
      <v>171</v>
      <v>172</v>
      <v>171</v>
      <v>171</v>
      <v>171</v>
      <v>1</v>
      <v>1</v>
      <v>1</v>
      <v>173</v>
      <v>1</v>
      <v>171</v>
      <v>1</v>
      <v>173</v>
      <v>1</v>
      <v>1</v>
      <v>1</v>
      <v>1</v>
      <v>1</v>
      <v>1</v>
      <v>1</v>
      <v>1</v>
      <v>1</v>
      <v>1</v>
      <v>1</v>
      <v>1</v>
      <v>1</v>
      <v>1</v>
      <v>173</v>
    </spb>
    <spb s="0">
      <v xml:space="preserve">Wikipedia	</v>
      <v xml:space="preserve">CC BY-SA 3.0	</v>
      <v xml:space="preserve">https://es.wikipedia.org/wiki/Tennessee	</v>
      <v xml:space="preserve">https://creativecommons.org/licenses/by-sa/3.0	</v>
    </spb>
    <spb s="0">
      <v xml:space="preserve">Wikipedia	</v>
      <v xml:space="preserve">CC-BY-SA	</v>
      <v xml:space="preserve">http://en.wikipedia.org/wiki/Tennessee	</v>
      <v xml:space="preserve">http://creativecommons.org/licenses/by-sa/3.0/	</v>
    </spb>
    <spb s="0">
      <v xml:space="preserve">Wikipedia	US Census	US Census	</v>
      <v xml:space="preserve">CC-BY-SA			</v>
      <v xml:space="preserve">http://en.wikipedia.org/wiki/Tennessee	https://www.census.gov/popest/data/state/asrh/2014/files/SC-EST2014-AGESEX-CIV.csv	http://www.census.gov/quickfacts/table/WTN220212/47	</v>
      <v xml:space="preserve">http://creativecommons.org/licenses/by-sa/3.0/			</v>
    </spb>
    <spb s="1">
      <v>175</v>
      <v>175</v>
      <v>1</v>
      <v>175</v>
      <v>175</v>
      <v>176</v>
      <v>175</v>
      <v>175</v>
      <v>175</v>
      <v>1</v>
      <v>1</v>
      <v>1</v>
      <v>177</v>
      <v>1</v>
      <v>175</v>
      <v>1</v>
      <v>177</v>
      <v>1</v>
      <v>1</v>
      <v>1</v>
      <v>1</v>
      <v>1</v>
      <v>1</v>
      <v>1</v>
      <v>1</v>
      <v>1</v>
      <v>1</v>
      <v>1</v>
      <v>1</v>
      <v>1</v>
      <v>1</v>
      <v>177</v>
    </spb>
    <spb s="0">
      <v xml:space="preserve">Wikipedia	</v>
      <v xml:space="preserve">CC BY-SA 3.0	</v>
      <v xml:space="preserve">https://es.wikipedia.org/wiki/Texas	</v>
      <v xml:space="preserve">https://creativecommons.org/licenses/by-sa/3.0	</v>
    </spb>
    <spb s="0">
      <v xml:space="preserve">Wikipedia	</v>
      <v xml:space="preserve">CC-BY-SA	</v>
      <v xml:space="preserve">http://en.wikipedia.org/wiki/Texas	</v>
      <v xml:space="preserve">http://creativecommons.org/licenses/by-sa/3.0/	</v>
    </spb>
    <spb s="0">
      <v xml:space="preserve">Wikipedia	US Census	US Census	</v>
      <v xml:space="preserve">CC-BY-SA			</v>
      <v xml:space="preserve">http://en.wikipedia.org/wiki/Texas	https://www.census.gov/popest/data/state/asrh/2014/files/SC-EST2014-AGESEX-CIV.csv	http://www.census.gov/quickfacts/table/WTN220212/48	</v>
      <v xml:space="preserve">http://creativecommons.org/licenses/by-sa/3.0/			</v>
    </spb>
    <spb s="1">
      <v>179</v>
      <v>179</v>
      <v>1</v>
      <v>179</v>
      <v>179</v>
      <v>180</v>
      <v>179</v>
      <v>179</v>
      <v>179</v>
      <v>1</v>
      <v>1</v>
      <v>1</v>
      <v>181</v>
      <v>1</v>
      <v>179</v>
      <v>1</v>
      <v>181</v>
      <v>1</v>
      <v>1</v>
      <v>1</v>
      <v>1</v>
      <v>1</v>
      <v>1</v>
      <v>1</v>
      <v>1</v>
      <v>1</v>
      <v>1</v>
      <v>1</v>
      <v>1</v>
      <v>1</v>
      <v>1</v>
      <v>181</v>
    </spb>
    <spb s="0">
      <v xml:space="preserve">Wikipedia	</v>
      <v xml:space="preserve">CC BY-SA 3.0	</v>
      <v xml:space="preserve">https://es.wikipedia.org/wiki/Utah	</v>
      <v xml:space="preserve">https://creativecommons.org/licenses/by-sa/3.0	</v>
    </spb>
    <spb s="0">
      <v xml:space="preserve">Wikipedia	</v>
      <v xml:space="preserve">CC-BY-SA	</v>
      <v xml:space="preserve">http://en.wikipedia.org/wiki/Utah	</v>
      <v xml:space="preserve">http://creativecommons.org/licenses/by-sa/3.0/	</v>
    </spb>
    <spb s="0">
      <v xml:space="preserve">Wikipedia	US Census	US Census	</v>
      <v xml:space="preserve">CC-BY-SA			</v>
      <v xml:space="preserve">http://en.wikipedia.org/wiki/Utah	https://www.census.gov/popest/data/state/asrh/2014/files/SC-EST2014-AGESEX-CIV.csv	http://www.census.gov/quickfacts/table/WTN220212/49	</v>
      <v xml:space="preserve">http://creativecommons.org/licenses/by-sa/3.0/			</v>
    </spb>
    <spb s="1">
      <v>183</v>
      <v>183</v>
      <v>1</v>
      <v>183</v>
      <v>183</v>
      <v>184</v>
      <v>183</v>
      <v>183</v>
      <v>183</v>
      <v>1</v>
      <v>1</v>
      <v>1</v>
      <v>185</v>
      <v>1</v>
      <v>183</v>
      <v>1</v>
      <v>185</v>
      <v>1</v>
      <v>1</v>
      <v>1</v>
      <v>1</v>
      <v>1</v>
      <v>1</v>
      <v>1</v>
      <v>1</v>
      <v>1</v>
      <v>1</v>
      <v>1</v>
      <v>1</v>
      <v>1</v>
      <v>1</v>
      <v>185</v>
    </spb>
    <spb s="0">
      <v xml:space="preserve">Wikipedia	</v>
      <v xml:space="preserve">CC BY-SA 3.0	</v>
      <v xml:space="preserve">https://es.wikipedia.org/wiki/Vermont	</v>
      <v xml:space="preserve">https://creativecommons.org/licenses/by-sa/3.0	</v>
    </spb>
    <spb s="0">
      <v xml:space="preserve">Wikipedia	</v>
      <v xml:space="preserve">CC-BY-SA	</v>
      <v xml:space="preserve">http://en.wikipedia.org/wiki/Vermont	</v>
      <v xml:space="preserve">http://creativecommons.org/licenses/by-sa/3.0/	</v>
    </spb>
    <spb s="0">
      <v xml:space="preserve">Wikipedia	US Census	US Census	</v>
      <v xml:space="preserve">CC-BY-SA			</v>
      <v xml:space="preserve">http://en.wikipedia.org/wiki/Vermont	https://www.census.gov/popest/data/state/asrh/2014/files/SC-EST2014-AGESEX-CIV.csv	http://www.census.gov/quickfacts/table/WTN220212/50	</v>
      <v xml:space="preserve">http://creativecommons.org/licenses/by-sa/3.0/			</v>
    </spb>
    <spb s="10">
      <v>187</v>
      <v>187</v>
      <v>1</v>
      <v>187</v>
      <v>187</v>
      <v>188</v>
      <v>187</v>
      <v>187</v>
      <v>187</v>
      <v>1</v>
      <v>1</v>
      <v>1</v>
      <v>189</v>
      <v>1</v>
      <v>187</v>
      <v>1</v>
      <v>189</v>
      <v>1</v>
      <v>1</v>
      <v>1</v>
      <v>1</v>
      <v>1</v>
      <v>1</v>
      <v>1</v>
      <v>1</v>
      <v>1</v>
      <v>1</v>
      <v>1</v>
      <v>1</v>
      <v>1</v>
      <v>189</v>
    </spb>
    <spb s="0">
      <v xml:space="preserve">Wikipedia	</v>
      <v xml:space="preserve">CC BY-SA 3.0	</v>
      <v xml:space="preserve">https://es.wikipedia.org/wiki/Virginia	</v>
      <v xml:space="preserve">https://creativecommons.org/licenses/by-sa/3.0	</v>
    </spb>
    <spb s="0">
      <v xml:space="preserve">Wikipedia	</v>
      <v xml:space="preserve">CC-BY-SA	</v>
      <v xml:space="preserve">http://en.wikipedia.org/wiki/Virginia	</v>
      <v xml:space="preserve">http://creativecommons.org/licenses/by-sa/3.0/	</v>
    </spb>
    <spb s="0">
      <v xml:space="preserve">Wikipedia	US Census	US Census	</v>
      <v xml:space="preserve">CC-BY-SA			</v>
      <v xml:space="preserve">http://en.wikipedia.org/wiki/Virginia	https://www.census.gov/popest/data/state/asrh/2014/files/SC-EST2014-AGESEX-CIV.csv	http://www.census.gov/quickfacts/table/WTN220212/51	</v>
      <v xml:space="preserve">http://creativecommons.org/licenses/by-sa/3.0/			</v>
    </spb>
    <spb s="1">
      <v>191</v>
      <v>191</v>
      <v>1</v>
      <v>191</v>
      <v>191</v>
      <v>192</v>
      <v>191</v>
      <v>191</v>
      <v>191</v>
      <v>1</v>
      <v>1</v>
      <v>1</v>
      <v>193</v>
      <v>1</v>
      <v>191</v>
      <v>1</v>
      <v>193</v>
      <v>1</v>
      <v>1</v>
      <v>1</v>
      <v>1</v>
      <v>1</v>
      <v>1</v>
      <v>1</v>
      <v>1</v>
      <v>1</v>
      <v>1</v>
      <v>1</v>
      <v>1</v>
      <v>1</v>
      <v>1</v>
      <v>193</v>
    </spb>
    <spb s="0">
      <v xml:space="preserve">Wikipedia	</v>
      <v xml:space="preserve">CC BY-SA 3.0	</v>
      <v xml:space="preserve">https://es.wikipedia.org/wiki/Washington_(estado)	</v>
      <v xml:space="preserve">https://creativecommons.org/licenses/by-sa/3.0	</v>
    </spb>
    <spb s="0">
      <v xml:space="preserve">Wikipedia	</v>
      <v xml:space="preserve">CC-BY-SA	</v>
      <v xml:space="preserve">http://en.wikipedia.org/wiki/Washington_(state)	</v>
      <v xml:space="preserve">http://creativecommons.org/licenses/by-sa/3.0/	</v>
    </spb>
    <spb s="0">
      <v xml:space="preserve">Wikipedia	US Census	Crunchbase	</v>
      <v xml:space="preserve">CC-BY-SA			</v>
      <v xml:space="preserve">http://en.wikipedia.org/wiki/Washington_(state)	https://www.census.gov/popest/data/state/asrh/2014/files/SC-EST2014-AGESEX-CIV.csv	https://www.crunchbase.com/organization/access-washington	</v>
      <v xml:space="preserve">http://creativecommons.org/licenses/by-sa/3.0/			</v>
    </spb>
    <spb s="1">
      <v>195</v>
      <v>195</v>
      <v>1</v>
      <v>195</v>
      <v>195</v>
      <v>196</v>
      <v>195</v>
      <v>195</v>
      <v>195</v>
      <v>1</v>
      <v>1</v>
      <v>1</v>
      <v>197</v>
      <v>1</v>
      <v>195</v>
      <v>1</v>
      <v>197</v>
      <v>1</v>
      <v>1</v>
      <v>1</v>
      <v>1</v>
      <v>1</v>
      <v>1</v>
      <v>1</v>
      <v>1</v>
      <v>1</v>
      <v>1</v>
      <v>1</v>
      <v>1</v>
      <v>1</v>
      <v>1</v>
      <v>197</v>
    </spb>
    <spb s="0">
      <v xml:space="preserve">Wikipedia	</v>
      <v xml:space="preserve">CC BY-SA 3.0	</v>
      <v xml:space="preserve">https://es.wikipedia.org/wiki/Virginia_Occidental	</v>
      <v xml:space="preserve">https://creativecommons.org/licenses/by-sa/3.0	</v>
    </spb>
    <spb s="0">
      <v xml:space="preserve">Wikipedia	</v>
      <v xml:space="preserve">CC-BY-SA	</v>
      <v xml:space="preserve">http://en.wikipedia.org/wiki/West_Virginia	</v>
      <v xml:space="preserve">http://creativecommons.org/licenses/by-sa/3.0/	</v>
    </spb>
    <spb s="0">
      <v xml:space="preserve">Wikipedia	US Census	US Census	</v>
      <v xml:space="preserve">CC-BY-SA			</v>
      <v xml:space="preserve">http://en.wikipedia.org/wiki/West_Virginia	https://www.census.gov/popest/data/state/asrh/2014/files/SC-EST2014-AGESEX-CIV.csv	http://www.census.gov/quickfacts/table/WTN220212/54	</v>
      <v xml:space="preserve">http://creativecommons.org/licenses/by-sa/3.0/			</v>
    </spb>
    <spb s="10">
      <v>199</v>
      <v>199</v>
      <v>1</v>
      <v>199</v>
      <v>199</v>
      <v>200</v>
      <v>199</v>
      <v>199</v>
      <v>199</v>
      <v>1</v>
      <v>1</v>
      <v>1</v>
      <v>201</v>
      <v>1</v>
      <v>199</v>
      <v>1</v>
      <v>201</v>
      <v>1</v>
      <v>1</v>
      <v>1</v>
      <v>1</v>
      <v>1</v>
      <v>1</v>
      <v>1</v>
      <v>1</v>
      <v>1</v>
      <v>1</v>
      <v>1</v>
      <v>1</v>
      <v>1</v>
      <v>201</v>
    </spb>
    <spb s="0">
      <v xml:space="preserve">Wikipedia	</v>
      <v xml:space="preserve">CC BY-SA 3.0	</v>
      <v xml:space="preserve">https://es.wikipedia.org/wiki/Wisconsin	</v>
      <v xml:space="preserve">https://creativecommons.org/licenses/by-sa/3.0	</v>
    </spb>
    <spb s="0">
      <v xml:space="preserve">Wikipedia	</v>
      <v xml:space="preserve">CC-BY-SA	</v>
      <v xml:space="preserve">http://en.wikipedia.org/wiki/Wisconsin	</v>
      <v xml:space="preserve">http://creativecommons.org/licenses/by-sa/3.0/	</v>
    </spb>
    <spb s="0">
      <v xml:space="preserve">Wikipedia	US Census	US Census	</v>
      <v xml:space="preserve">CC-BY-SA			</v>
      <v xml:space="preserve">http://en.wikipedia.org/wiki/Wisconsin	https://www.census.gov/popest/data/state/asrh/2014/files/SC-EST2014-AGESEX-CIV.csv	http://www.census.gov/quickfacts/table/VET605214/55	</v>
      <v xml:space="preserve">http://creativecommons.org/licenses/by-sa/3.0/			</v>
    </spb>
    <spb s="1">
      <v>203</v>
      <v>203</v>
      <v>1</v>
      <v>203</v>
      <v>203</v>
      <v>204</v>
      <v>203</v>
      <v>203</v>
      <v>203</v>
      <v>1</v>
      <v>1</v>
      <v>1</v>
      <v>205</v>
      <v>1</v>
      <v>203</v>
      <v>1</v>
      <v>205</v>
      <v>1</v>
      <v>1</v>
      <v>1</v>
      <v>1</v>
      <v>1</v>
      <v>1</v>
      <v>1</v>
      <v>1</v>
      <v>1</v>
      <v>1</v>
      <v>1</v>
      <v>1</v>
      <v>1</v>
      <v>1</v>
      <v>205</v>
    </spb>
    <spb s="0">
      <v xml:space="preserve">Wikipedia	</v>
      <v xml:space="preserve">CC BY-SA 3.0	</v>
      <v xml:space="preserve">https://es.wikipedia.org/wiki/Wyoming	</v>
      <v xml:space="preserve">https://creativecommons.org/licenses/by-sa/3.0	</v>
    </spb>
    <spb s="0">
      <v xml:space="preserve">Wikipedia	</v>
      <v xml:space="preserve">CC-BY-SA	</v>
      <v xml:space="preserve">http://en.wikipedia.org/wiki/Wyoming	</v>
      <v xml:space="preserve">http://creativecommons.org/licenses/by-sa/3.0/	</v>
    </spb>
    <spb s="0">
      <v xml:space="preserve">Wikipedia	US Census	US Census	</v>
      <v xml:space="preserve">CC-BY-SA			</v>
      <v xml:space="preserve">http://en.wikipedia.org/wiki/Wyoming	https://www.census.gov/popest/data/state/asrh/2014/files/SC-EST2014-AGESEX-CIV.csv	http://www.census.gov/quickfacts/table/WTN220212/56	</v>
      <v xml:space="preserve">http://creativecommons.org/licenses/by-sa/3.0/			</v>
    </spb>
    <spb s="1">
      <v>207</v>
      <v>207</v>
      <v>1</v>
      <v>207</v>
      <v>207</v>
      <v>208</v>
      <v>207</v>
      <v>207</v>
      <v>207</v>
      <v>1</v>
      <v>1</v>
      <v>1</v>
      <v>209</v>
      <v>1</v>
      <v>207</v>
      <v>1</v>
      <v>209</v>
      <v>1</v>
      <v>1</v>
      <v>1</v>
      <v>1</v>
      <v>1</v>
      <v>1</v>
      <v>1</v>
      <v>1</v>
      <v>1</v>
      <v>1</v>
      <v>1</v>
      <v>1</v>
      <v>1</v>
      <v>1</v>
      <v>209</v>
    </spb>
  </spbData>
</supportingPropertyBags>
</file>

<file path=xl/richData/rdsupportingpropertybagstructure.xml><?xml version="1.0" encoding="utf-8"?>
<spbStructures xmlns="http://schemas.microsoft.com/office/spreadsheetml/2017/richdata2" count="13">
  <s>
    <k n="SourceText" t="s"/>
    <k n="LicenseText" t="s"/>
    <k n="SourceAddress" t="s"/>
    <k n="LicenseAddress" t="s"/>
  </s>
  <s>
    <k n="`Área" t="spb"/>
    <k n="Nombre" t="spb"/>
    <k n="Hogares" t="spb"/>
    <k n="Población" t="spb"/>
    <k n="UniqueName" t="spb"/>
    <k n="Abreviatura" t="spb"/>
    <k n="Descripción" t="spb"/>
    <k n="País o región" t="spb"/>
    <k n="Ciudad más grande" t="spb"/>
    <k n="Personas por hogar" t="spb"/>
    <k n="Unidades de vivienda" t="spb"/>
    <k n="Población: blanca (%)" t="spb"/>
    <k n="Renta mediana en bruto" t="spb"/>
    <k n="Población: asiática (%)" t="spb"/>
    <k n="Capital/ciudad principal" t="spb"/>
    <k n="Permisos de construcción" t="spb"/>
    <k n="Ingresos medios del hogar" t="spb"/>
    <k n="Cambio en la población (%)" t="spb"/>
    <k n="Población: más de 65 años (%)" t="spb"/>
    <k n="Población: menor de 5 años (%)" t="spb"/>
    <k n="Población: hispana o latina (%)" t="spb"/>
    <k n="Población: menores de 18 años (%)" t="spb"/>
    <k n="Población: dos o más etnicidades (%)" t="spb"/>
    <k n="Población: negra o afroamericana (%)" t="spb"/>
    <k n="Población: licenciatura o superior (%)" t="spb"/>
    <k n="Población: personas con discapacidad (%)" t="spb"/>
    <k n="Población: en la fuerza laboral civil (%)" t="spb"/>
    <k n="Población: graduado en secundaria o superior (%)" t="spb"/>
    <k n="Población: personas nacidas en el extranjero (%)" t="spb"/>
    <k n="Población: indio americano y nativo de Alaska (%)" t="spb"/>
    <k n="Población: nativa de Hawái y otras islas del Pacífico (%)" t="spb"/>
    <k n="Valor medio, unidades de vivienda ocupadas por propietario" t="spb"/>
  </s>
  <s>
    <k n="Área" t="s"/>
    <k n="Imagen" t="s"/>
    <k n="Nombre" t="s"/>
    <k n="Hogares" t="s"/>
    <k n="Población" t="s"/>
    <k n="UniqueName" t="s"/>
    <k n="VDPID/VSID" t="s"/>
    <k n="Abreviatura" t="s"/>
    <k n="Descripción" t="s"/>
    <k n="País o región" t="s"/>
    <k n="LearnMoreOnLink" t="s"/>
    <k n="Ciudad más grande" t="s"/>
    <k n="Personas por hogar" t="s"/>
    <k n="Unidades de vivienda" t="s"/>
    <k n="Población: blanca (%)" t="s"/>
    <k n="Renta mediana en bruto" t="s"/>
    <k n="Población: asiática (%)" t="s"/>
    <k n="Capital/ciudad principal" t="s"/>
    <k n="Permisos de construcción" t="s"/>
    <k n="Ingresos medios del hogar" t="s"/>
    <k n="Cambio en la población (%)" t="s"/>
    <k n="Población: más de 65 años (%)" t="s"/>
    <k n="Población: menor de 5 años (%)" t="s"/>
    <k n="Población: hispana o latina (%)" t="s"/>
    <k n="Población: menores de 18 años (%)" t="s"/>
    <k n="Población: dos o más etnicidades (%)" t="s"/>
    <k n="Población: negra o afroamericana (%)" t="s"/>
    <k n="Población: licenciatura o superior (%)" t="s"/>
    <k n="Población: personas con discapacidad (%)" t="s"/>
    <k n="Población: en la fuerza laboral civil (%)" t="s"/>
    <k n="Población: graduado en secundaria o superior (%)" t="s"/>
    <k n="Población: personas nacidas en el extranjero (%)" t="s"/>
    <k n="Población: indio americano y nativo de Alaska (%)" t="s"/>
    <k n="Población: nativa de Hawái y otras islas del Pacífico (%)" t="s"/>
    <k n="Valor medio, unidades de vivienda ocupadas por propietario" t="s"/>
  </s>
  <s>
    <k n="^Order" t="spba"/>
    <k n="TitleProperty" t="s"/>
    <k n="SubTitleProperty" t="s"/>
  </s>
  <s>
    <k n="ShowInCardView" t="b"/>
    <k n="ShowInDotNotation" t="b"/>
    <k n="ShowInAutoComplete" t="b"/>
  </s>
  <s>
    <k n="UniqueName" t="spb"/>
    <k n="VDPID/VSID" t="spb"/>
    <k n="LearnMoreOnLink" t="spb"/>
  </s>
  <s>
    <k n="Imagen" t="i"/>
    <k n="Nombre" t="i"/>
  </s>
  <s>
    <k n="link" t="s"/>
    <k n="logo" t="s"/>
    <k n="name" t="s"/>
  </s>
  <s>
    <k n="`Área" t="s"/>
    <k n="Hogares" t="s"/>
    <k n="Población" t="s"/>
    <k n="Personas por hogar" t="s"/>
    <k n="Unidades de vivienda" t="s"/>
    <k n="Población: blanca (%)" t="s"/>
    <k n="Renta mediana en bruto" t="s"/>
    <k n="Población: asiática (%)" t="s"/>
    <k n="Permisos de construcción" t="s"/>
    <k n="Ingresos medios del hogar" t="s"/>
    <k n="Cambio en la población (%)" t="s"/>
    <k n="Población: más de 65 años (%)" t="s"/>
    <k n="Población: menor de 5 años (%)" t="s"/>
    <k n="Población: hispana o latina (%)" t="s"/>
    <k n="Población: menores de 18 años (%)" t="s"/>
    <k n="Población: dos o más etnicidades (%)" t="s"/>
    <k n="Población: negra o afroamericana (%)" t="s"/>
    <k n="Población: licenciatura o superior (%)" t="s"/>
    <k n="Población: personas con discapacidad (%)" t="s"/>
    <k n="Población: en la fuerza laboral civil (%)" t="s"/>
    <k n="Población: graduado en secundaria o superior (%)" t="s"/>
    <k n="Población: personas nacidas en el extranjero (%)" t="s"/>
    <k n="Población: indio americano y nativo de Alaska (%)" t="s"/>
    <k n="Población: nativa de Hawái y otras islas del Pacífico (%)" t="s"/>
    <k n="Valor medio, unidades de vivienda ocupadas por propietario" t="s"/>
  </s>
  <s>
    <k n="_Self" t="i"/>
  </s>
  <s>
    <k n="`Área" t="spb"/>
    <k n="Nombre" t="spb"/>
    <k n="Hogares" t="spb"/>
    <k n="Población" t="spb"/>
    <k n="UniqueName" t="spb"/>
    <k n="Abreviatura" t="spb"/>
    <k n="Descripción" t="spb"/>
    <k n="País o región" t="spb"/>
    <k n="Ciudad más grande" t="spb"/>
    <k n="Personas por hogar" t="spb"/>
    <k n="Unidades de vivienda" t="spb"/>
    <k n="Población: blanca (%)" t="spb"/>
    <k n="Renta mediana en bruto" t="spb"/>
    <k n="Población: asiática (%)" t="spb"/>
    <k n="Capital/ciudad principal" t="spb"/>
    <k n="Permisos de construcción" t="spb"/>
    <k n="Ingresos medios del hogar" t="spb"/>
    <k n="Cambio en la población (%)" t="spb"/>
    <k n="Población: más de 65 años (%)" t="spb"/>
    <k n="Población: menor de 5 años (%)" t="spb"/>
    <k n="Población: hispana o latina (%)" t="spb"/>
    <k n="Población: menores de 18 años (%)" t="spb"/>
    <k n="Población: dos o más etnicidades (%)" t="spb"/>
    <k n="Población: negra o afroamericana (%)" t="spb"/>
    <k n="Población: licenciatura o superior (%)" t="spb"/>
    <k n="Población: personas con discapacidad (%)" t="spb"/>
    <k n="Población: en la fuerza laboral civil (%)" t="spb"/>
    <k n="Población: graduado en secundaria o superior (%)" t="spb"/>
    <k n="Población: personas nacidas en el extranjero (%)" t="spb"/>
    <k n="Población: indio americano y nativo de Alaska (%)" t="spb"/>
    <k n="Valor medio, unidades de vivienda ocupadas por propietario" t="spb"/>
  </s>
  <s>
    <k n="Área" t="s"/>
    <k n="Imagen" t="s"/>
    <k n="Nombre" t="s"/>
    <k n="Hogares" t="s"/>
    <k n="Población" t="s"/>
    <k n="UniqueName" t="s"/>
    <k n="VDPID/VSID" t="s"/>
    <k n="Abreviatura" t="s"/>
    <k n="Descripción" t="s"/>
    <k n="País o región" t="s"/>
    <k n="LearnMoreOnLink" t="s"/>
    <k n="Ciudad más grande" t="s"/>
    <k n="Personas por hogar" t="s"/>
    <k n="Unidades de vivienda" t="s"/>
    <k n="Población: blanca (%)" t="s"/>
    <k n="Renta mediana en bruto" t="s"/>
    <k n="Población: asiática (%)" t="s"/>
    <k n="Capital/ciudad principal" t="s"/>
    <k n="Permisos de construcción" t="s"/>
    <k n="Ingresos medios del hogar" t="s"/>
    <k n="Cambio en la población (%)" t="s"/>
    <k n="Población: más de 65 años (%)" t="s"/>
    <k n="Población: menor de 5 años (%)" t="s"/>
    <k n="Población: hispana o latina (%)" t="s"/>
    <k n="Población: menores de 18 años (%)" t="s"/>
    <k n="Población: dos o más etnicidades (%)" t="s"/>
    <k n="Población: negra o afroamericana (%)" t="s"/>
    <k n="Población: licenciatura o superior (%)" t="s"/>
    <k n="Población: personas con discapacidad (%)" t="s"/>
    <k n="Población: en la fuerza laboral civil (%)" t="s"/>
    <k n="Población: graduado en secundaria o superior (%)" t="s"/>
    <k n="Población: personas nacidas en el extranjero (%)" t="s"/>
    <k n="Población: indio americano y nativo de Alaska (%)" t="s"/>
    <k n="Valor medio, unidades de vivienda ocupadas por propietario" t="s"/>
  </s>
  <s>
    <k n="`Área" t="s"/>
    <k n="Hogares" t="s"/>
    <k n="Población" t="s"/>
    <k n="Personas por hogar" t="s"/>
    <k n="Unidades de vivienda" t="s"/>
    <k n="Población: blanca (%)" t="s"/>
    <k n="Renta mediana en bruto" t="s"/>
    <k n="Población: asiática (%)" t="s"/>
    <k n="Permisos de construcción" t="s"/>
    <k n="Ingresos medios del hogar" t="s"/>
    <k n="Cambio en la población (%)" t="s"/>
    <k n="Población: más de 65 años (%)" t="s"/>
    <k n="Población: menor de 5 años (%)" t="s"/>
    <k n="Población: hispana o latina (%)" t="s"/>
    <k n="Población: menores de 18 años (%)" t="s"/>
    <k n="Población: dos o más etnicidades (%)" t="s"/>
    <k n="Población: negra o afroamericana (%)" t="s"/>
    <k n="Población: licenciatura o superior (%)" t="s"/>
    <k n="Población: personas con discapacidad (%)" t="s"/>
    <k n="Población: en la fuerza laboral civil (%)" t="s"/>
    <k n="Población: graduado en secundaria o superior (%)" t="s"/>
    <k n="Población: personas nacidas en el extranjero (%)" t="s"/>
    <k n="Población: indio americano y nativo de Alaska (%)" t="s"/>
    <k n="Valor medio, unidades de vivienda ocupadas por propietario"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5">
    <x:dxf>
      <x:numFmt numFmtId="3" formatCode="#,##0"/>
    </x:dxf>
    <x:dxf>
      <x:numFmt numFmtId="14" formatCode="0.00%"/>
    </x:dxf>
    <x:dxf>
      <x:numFmt numFmtId="2" formatCode="0.00"/>
    </x:dxf>
    <x:dxf>
      <x:numFmt numFmtId="0" formatCode="General"/>
    </x:dxf>
    <x:dxf>
      <x:numFmt numFmtId="13" formatCode="0%"/>
    </x:dxf>
  </dxfs>
  <richProperties>
    <rPr n="IsHeroField" t="b"/>
    <rPr n="IsTitleField" t="b"/>
    <rPr n="NumberFormat" t="s"/>
  </richProperties>
  <richStyles>
    <rSty>
      <rpv i="0">1</rpv>
    </rSty>
    <rSty>
      <rpv i="1">1</rpv>
    </rSty>
    <rSty dxfid="0">
      <rpv i="2">#,##0</rpv>
    </rSty>
    <rSty dxfid="1">
      <rpv i="2">0.0%</rpv>
    </rSty>
    <rSty dxfid="3">
      <rpv i="2">_([$$-en-US]* #,##0_);_([$$-en-US]* (#,##0);_([$$-en-US]* "-"_);_(@_)</rpv>
    </rSty>
    <rSty dxfid="2">
      <rpv i="2">0.00</rpv>
    </rSty>
    <rSty dxfid="4"/>
  </richStyles>
</richStyleSheet>
</file>

<file path=xl/theme/theme1.xml><?xml version="1.0" encoding="utf-8"?>
<a:theme xmlns:a="http://schemas.openxmlformats.org/drawingml/2006/main" name="ThemeDashboardCareer">
  <a:themeElements>
    <a:clrScheme name="Maven Careers">
      <a:dk1>
        <a:sysClr val="windowText" lastClr="000000"/>
      </a:dk1>
      <a:lt1>
        <a:sysClr val="window" lastClr="FFFFFF"/>
      </a:lt1>
      <a:dk2>
        <a:srgbClr val="44546A"/>
      </a:dk2>
      <a:lt2>
        <a:srgbClr val="E7E6E6"/>
      </a:lt2>
      <a:accent1>
        <a:srgbClr val="269999"/>
      </a:accent1>
      <a:accent2>
        <a:srgbClr val="FF5050"/>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3.xml"/><Relationship Id="rId6" Type="http://schemas.openxmlformats.org/officeDocument/2006/relationships/ctrlProp" Target="../ctrlProps/ctrlProp4.xml"/><Relationship Id="rId5" Type="http://schemas.openxmlformats.org/officeDocument/2006/relationships/ctrlProp" Target="../ctrlProps/ctrlProp3.xml"/><Relationship Id="rId4" Type="http://schemas.openxmlformats.org/officeDocument/2006/relationships/ctrlProp" Target="../ctrlProps/ctrlProp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52F2C-F2D3-4F44-815D-AF8D50250408}">
  <sheetPr codeName="Sheet1"/>
  <dimension ref="A1:K1919"/>
  <sheetViews>
    <sheetView workbookViewId="0">
      <selection activeCell="C2" sqref="C2:C1919"/>
    </sheetView>
  </sheetViews>
  <sheetFormatPr baseColWidth="10" defaultColWidth="8.77734375" defaultRowHeight="14.4" x14ac:dyDescent="0.3"/>
  <cols>
    <col min="1" max="1" width="9.109375" customWidth="1"/>
    <col min="2" max="2" width="21.6640625" customWidth="1"/>
    <col min="3" max="3" width="18.6640625" customWidth="1"/>
    <col min="4" max="4" width="18.44140625" customWidth="1"/>
    <col min="5" max="5" width="16.44140625" customWidth="1"/>
    <col min="6" max="6" width="25.109375" customWidth="1"/>
    <col min="7" max="18" width="9.109375" customWidth="1"/>
  </cols>
  <sheetData>
    <row r="1" spans="1:11" x14ac:dyDescent="0.3">
      <c r="A1" s="3" t="s">
        <v>48</v>
      </c>
      <c r="B1" s="3" t="s">
        <v>49</v>
      </c>
      <c r="C1" s="3" t="s">
        <v>50</v>
      </c>
      <c r="D1" s="3" t="s">
        <v>51</v>
      </c>
      <c r="E1" s="3" t="s">
        <v>52</v>
      </c>
      <c r="F1" s="3" t="s">
        <v>53</v>
      </c>
    </row>
    <row r="2" spans="1:11" x14ac:dyDescent="0.3">
      <c r="A2">
        <v>2024</v>
      </c>
      <c r="B2" t="s">
        <v>55</v>
      </c>
      <c r="C2" t="s">
        <v>0</v>
      </c>
      <c r="D2" s="1">
        <v>4029</v>
      </c>
      <c r="E2" s="1">
        <v>24510</v>
      </c>
      <c r="F2" s="2">
        <v>53206</v>
      </c>
      <c r="I2" s="1"/>
      <c r="J2" s="1"/>
      <c r="K2" s="2"/>
    </row>
    <row r="3" spans="1:11" x14ac:dyDescent="0.3">
      <c r="A3">
        <v>2024</v>
      </c>
      <c r="B3" t="s">
        <v>55</v>
      </c>
      <c r="C3" t="s">
        <v>1</v>
      </c>
      <c r="D3" s="1">
        <v>13917</v>
      </c>
      <c r="E3" s="1">
        <v>148837</v>
      </c>
      <c r="F3" s="2">
        <v>71561</v>
      </c>
      <c r="I3" s="1"/>
      <c r="J3" s="1"/>
      <c r="K3" s="2"/>
    </row>
    <row r="4" spans="1:11" x14ac:dyDescent="0.3">
      <c r="A4">
        <v>2024</v>
      </c>
      <c r="B4" t="s">
        <v>55</v>
      </c>
      <c r="C4" t="s">
        <v>2</v>
      </c>
      <c r="D4" s="1">
        <v>2283</v>
      </c>
      <c r="E4" s="1">
        <v>11124</v>
      </c>
      <c r="F4" s="2">
        <v>57486</v>
      </c>
      <c r="I4" s="1"/>
      <c r="J4" s="1"/>
      <c r="K4" s="2"/>
    </row>
    <row r="5" spans="1:11" x14ac:dyDescent="0.3">
      <c r="A5">
        <v>2024</v>
      </c>
      <c r="B5" t="s">
        <v>55</v>
      </c>
      <c r="C5" t="s">
        <v>3</v>
      </c>
      <c r="D5" s="1">
        <v>21888</v>
      </c>
      <c r="E5" s="1">
        <v>245234</v>
      </c>
      <c r="F5" s="2">
        <v>55653</v>
      </c>
      <c r="I5" s="1"/>
      <c r="J5" s="1"/>
      <c r="K5" s="2"/>
    </row>
    <row r="6" spans="1:11" x14ac:dyDescent="0.3">
      <c r="A6">
        <v>2024</v>
      </c>
      <c r="B6" t="s">
        <v>55</v>
      </c>
      <c r="C6" t="s">
        <v>4</v>
      </c>
      <c r="D6" s="1">
        <v>35993</v>
      </c>
      <c r="E6" s="1">
        <v>430516</v>
      </c>
      <c r="F6" s="2">
        <v>56745</v>
      </c>
      <c r="I6" s="1"/>
      <c r="J6" s="1"/>
      <c r="K6" s="2"/>
    </row>
    <row r="7" spans="1:11" x14ac:dyDescent="0.3">
      <c r="A7">
        <v>2024</v>
      </c>
      <c r="B7" t="s">
        <v>55</v>
      </c>
      <c r="C7" t="s">
        <v>5</v>
      </c>
      <c r="D7" s="1">
        <v>14308</v>
      </c>
      <c r="E7" s="1">
        <v>146700</v>
      </c>
      <c r="F7" s="2">
        <v>60316</v>
      </c>
      <c r="I7" s="1"/>
      <c r="J7" s="1"/>
      <c r="K7" s="2"/>
    </row>
    <row r="8" spans="1:11" x14ac:dyDescent="0.3">
      <c r="A8">
        <v>2024</v>
      </c>
      <c r="B8" t="s">
        <v>55</v>
      </c>
      <c r="C8" t="s">
        <v>6</v>
      </c>
      <c r="D8" s="1">
        <v>208425</v>
      </c>
      <c r="E8" s="1">
        <v>2667839</v>
      </c>
      <c r="F8" s="2">
        <v>91070</v>
      </c>
      <c r="I8" s="1"/>
      <c r="J8" s="1"/>
      <c r="K8" s="2"/>
    </row>
    <row r="9" spans="1:11" x14ac:dyDescent="0.3">
      <c r="A9">
        <v>2024</v>
      </c>
      <c r="B9" t="s">
        <v>55</v>
      </c>
      <c r="C9" t="s">
        <v>7</v>
      </c>
      <c r="D9" s="1">
        <v>52525</v>
      </c>
      <c r="E9" s="1">
        <v>423946</v>
      </c>
      <c r="F9" s="2">
        <v>81401</v>
      </c>
      <c r="I9" s="1"/>
      <c r="J9" s="1"/>
      <c r="K9" s="2"/>
    </row>
    <row r="10" spans="1:11" x14ac:dyDescent="0.3">
      <c r="A10">
        <v>2024</v>
      </c>
      <c r="B10" t="s">
        <v>55</v>
      </c>
      <c r="C10" t="s">
        <v>8</v>
      </c>
      <c r="D10" s="1">
        <v>23279</v>
      </c>
      <c r="E10" s="1">
        <v>221029</v>
      </c>
      <c r="F10" s="2">
        <v>87958</v>
      </c>
      <c r="I10" s="1"/>
      <c r="J10" s="1"/>
      <c r="K10" s="2"/>
    </row>
    <row r="11" spans="1:11" x14ac:dyDescent="0.3">
      <c r="A11">
        <v>2024</v>
      </c>
      <c r="B11" t="s">
        <v>55</v>
      </c>
      <c r="C11" t="s">
        <v>9</v>
      </c>
      <c r="D11" s="1">
        <v>8956</v>
      </c>
      <c r="E11" s="1">
        <v>63405</v>
      </c>
      <c r="F11" s="2">
        <v>80066</v>
      </c>
      <c r="I11" s="1"/>
      <c r="J11" s="1"/>
      <c r="K11" s="2"/>
    </row>
    <row r="12" spans="1:11" x14ac:dyDescent="0.3">
      <c r="A12">
        <v>2024</v>
      </c>
      <c r="B12" t="s">
        <v>55</v>
      </c>
      <c r="C12" t="s">
        <v>10</v>
      </c>
      <c r="D12" s="1">
        <v>161890</v>
      </c>
      <c r="E12" s="1">
        <v>1365136</v>
      </c>
      <c r="F12" s="2">
        <v>60914</v>
      </c>
      <c r="I12" s="1"/>
      <c r="J12" s="1"/>
      <c r="K12" s="2"/>
    </row>
    <row r="13" spans="1:11" x14ac:dyDescent="0.3">
      <c r="A13">
        <v>2024</v>
      </c>
      <c r="B13" t="s">
        <v>55</v>
      </c>
      <c r="C13" t="s">
        <v>11</v>
      </c>
      <c r="D13" s="1">
        <v>54714</v>
      </c>
      <c r="E13" s="1">
        <v>687321</v>
      </c>
      <c r="F13" s="2">
        <v>66989</v>
      </c>
      <c r="I13" s="1"/>
      <c r="J13" s="1"/>
      <c r="K13" s="2"/>
    </row>
    <row r="14" spans="1:11" x14ac:dyDescent="0.3">
      <c r="A14">
        <v>2024</v>
      </c>
      <c r="B14" t="s">
        <v>55</v>
      </c>
      <c r="C14" t="s">
        <v>12</v>
      </c>
      <c r="D14" s="1">
        <v>11562</v>
      </c>
      <c r="E14" s="1">
        <v>91631</v>
      </c>
      <c r="F14" s="2">
        <v>51695</v>
      </c>
      <c r="I14" s="1"/>
      <c r="J14" s="1"/>
      <c r="K14" s="2"/>
    </row>
    <row r="15" spans="1:11" x14ac:dyDescent="0.3">
      <c r="A15">
        <v>2024</v>
      </c>
      <c r="B15" t="s">
        <v>55</v>
      </c>
      <c r="C15" t="s">
        <v>13</v>
      </c>
      <c r="D15" s="1">
        <v>74587</v>
      </c>
      <c r="E15" s="1">
        <v>948766</v>
      </c>
      <c r="F15" s="2">
        <v>76586</v>
      </c>
      <c r="I15" s="1"/>
      <c r="J15" s="1"/>
      <c r="K15" s="2"/>
    </row>
    <row r="16" spans="1:11" x14ac:dyDescent="0.3">
      <c r="A16">
        <v>2024</v>
      </c>
      <c r="B16" t="s">
        <v>55</v>
      </c>
      <c r="C16" t="s">
        <v>14</v>
      </c>
      <c r="D16" s="1">
        <v>29755</v>
      </c>
      <c r="E16" s="1">
        <v>342835</v>
      </c>
      <c r="F16" s="2">
        <v>52468</v>
      </c>
      <c r="I16" s="1"/>
      <c r="J16" s="1"/>
      <c r="K16" s="2"/>
    </row>
    <row r="17" spans="1:11" x14ac:dyDescent="0.3">
      <c r="A17">
        <v>2024</v>
      </c>
      <c r="B17" t="s">
        <v>55</v>
      </c>
      <c r="C17" t="s">
        <v>15</v>
      </c>
      <c r="D17" s="1">
        <v>15839</v>
      </c>
      <c r="E17" s="1">
        <v>140535</v>
      </c>
      <c r="F17" s="2">
        <v>54071</v>
      </c>
      <c r="I17" s="1"/>
      <c r="J17" s="1"/>
      <c r="K17" s="2"/>
    </row>
    <row r="18" spans="1:11" x14ac:dyDescent="0.3">
      <c r="A18">
        <v>2024</v>
      </c>
      <c r="B18" t="s">
        <v>55</v>
      </c>
      <c r="C18" t="s">
        <v>16</v>
      </c>
      <c r="D18" s="1">
        <v>16731</v>
      </c>
      <c r="E18" s="1">
        <v>179413</v>
      </c>
      <c r="F18" s="2">
        <v>61288</v>
      </c>
      <c r="I18" s="1"/>
      <c r="J18" s="1"/>
      <c r="K18" s="2"/>
    </row>
    <row r="19" spans="1:11" x14ac:dyDescent="0.3">
      <c r="A19">
        <v>2024</v>
      </c>
      <c r="B19" t="s">
        <v>55</v>
      </c>
      <c r="C19" t="s">
        <v>17</v>
      </c>
      <c r="D19" s="1">
        <v>20542</v>
      </c>
      <c r="E19" s="1">
        <v>217081</v>
      </c>
      <c r="F19" s="2">
        <v>50087</v>
      </c>
      <c r="I19" s="1"/>
      <c r="J19" s="1"/>
      <c r="K19" s="2"/>
    </row>
    <row r="20" spans="1:11" x14ac:dyDescent="0.3">
      <c r="A20">
        <v>2024</v>
      </c>
      <c r="B20" t="s">
        <v>55</v>
      </c>
      <c r="C20" t="s">
        <v>18</v>
      </c>
      <c r="D20" s="1">
        <v>24537</v>
      </c>
      <c r="E20" s="1">
        <v>213171</v>
      </c>
      <c r="F20" s="2">
        <v>56446</v>
      </c>
      <c r="I20" s="1"/>
      <c r="J20" s="1"/>
      <c r="K20" s="2"/>
    </row>
    <row r="21" spans="1:11" x14ac:dyDescent="0.3">
      <c r="A21">
        <v>2024</v>
      </c>
      <c r="B21" t="s">
        <v>55</v>
      </c>
      <c r="C21" t="s">
        <v>19</v>
      </c>
      <c r="D21" s="1">
        <v>9940</v>
      </c>
      <c r="E21" s="1">
        <v>69285</v>
      </c>
      <c r="F21" s="2">
        <v>57328</v>
      </c>
      <c r="I21" s="1"/>
      <c r="J21" s="1"/>
      <c r="K21" s="2"/>
    </row>
    <row r="22" spans="1:11" x14ac:dyDescent="0.3">
      <c r="A22">
        <v>2024</v>
      </c>
      <c r="B22" t="s">
        <v>55</v>
      </c>
      <c r="C22" t="s">
        <v>20</v>
      </c>
      <c r="D22" s="1">
        <v>42809</v>
      </c>
      <c r="E22" s="1">
        <v>452753</v>
      </c>
      <c r="F22" s="2">
        <v>79500</v>
      </c>
      <c r="I22" s="1"/>
      <c r="J22" s="1"/>
      <c r="K22" s="2"/>
    </row>
    <row r="23" spans="1:11" x14ac:dyDescent="0.3">
      <c r="A23">
        <v>2024</v>
      </c>
      <c r="B23" t="s">
        <v>55</v>
      </c>
      <c r="C23" t="s">
        <v>21</v>
      </c>
      <c r="D23" s="1">
        <v>47416</v>
      </c>
      <c r="E23" s="1">
        <v>587518</v>
      </c>
      <c r="F23" s="2">
        <v>107875</v>
      </c>
      <c r="I23" s="1"/>
      <c r="J23" s="1"/>
      <c r="K23" s="2"/>
    </row>
    <row r="24" spans="1:11" x14ac:dyDescent="0.3">
      <c r="A24">
        <v>2024</v>
      </c>
      <c r="B24" t="s">
        <v>55</v>
      </c>
      <c r="C24" t="s">
        <v>22</v>
      </c>
      <c r="D24" s="1">
        <v>42545</v>
      </c>
      <c r="E24" s="1">
        <v>657930</v>
      </c>
      <c r="F24" s="2">
        <v>69377</v>
      </c>
      <c r="I24" s="1"/>
      <c r="J24" s="1"/>
      <c r="K24" s="2"/>
    </row>
    <row r="25" spans="1:11" x14ac:dyDescent="0.3">
      <c r="A25">
        <v>2024</v>
      </c>
      <c r="B25" t="s">
        <v>55</v>
      </c>
      <c r="C25" t="s">
        <v>23</v>
      </c>
      <c r="D25" s="1">
        <v>32024</v>
      </c>
      <c r="E25" s="1">
        <v>378493</v>
      </c>
      <c r="F25" s="2">
        <v>82535</v>
      </c>
      <c r="I25" s="1"/>
      <c r="J25" s="1"/>
      <c r="K25" s="2"/>
    </row>
    <row r="26" spans="1:11" x14ac:dyDescent="0.3">
      <c r="A26">
        <v>2024</v>
      </c>
      <c r="B26" t="s">
        <v>55</v>
      </c>
      <c r="C26" t="s">
        <v>24</v>
      </c>
      <c r="D26" s="1">
        <v>12259</v>
      </c>
      <c r="E26" s="1">
        <v>109842</v>
      </c>
      <c r="F26" s="2">
        <v>42132</v>
      </c>
      <c r="I26" s="1"/>
      <c r="J26" s="1"/>
      <c r="K26" s="2"/>
    </row>
    <row r="27" spans="1:11" x14ac:dyDescent="0.3">
      <c r="A27">
        <v>2024</v>
      </c>
      <c r="B27" t="s">
        <v>55</v>
      </c>
      <c r="C27" t="s">
        <v>25</v>
      </c>
      <c r="D27" s="1">
        <v>32577</v>
      </c>
      <c r="E27" s="1">
        <v>385727</v>
      </c>
      <c r="F27" s="2">
        <v>66429</v>
      </c>
      <c r="I27" s="1"/>
      <c r="J27" s="1"/>
      <c r="K27" s="2"/>
    </row>
    <row r="28" spans="1:11" x14ac:dyDescent="0.3">
      <c r="A28">
        <v>2024</v>
      </c>
      <c r="B28" t="s">
        <v>55</v>
      </c>
      <c r="C28" t="s">
        <v>26</v>
      </c>
      <c r="D28" s="1">
        <v>9359</v>
      </c>
      <c r="E28" s="1">
        <v>42410</v>
      </c>
      <c r="F28" s="2">
        <v>52271</v>
      </c>
      <c r="I28" s="1"/>
      <c r="J28" s="1"/>
      <c r="K28" s="2"/>
    </row>
    <row r="29" spans="1:11" x14ac:dyDescent="0.3">
      <c r="A29">
        <v>2024</v>
      </c>
      <c r="B29" t="s">
        <v>55</v>
      </c>
      <c r="C29" t="s">
        <v>27</v>
      </c>
      <c r="D29" s="1">
        <v>11582</v>
      </c>
      <c r="E29" s="1">
        <v>119167</v>
      </c>
      <c r="F29" s="2">
        <v>58836</v>
      </c>
      <c r="I29" s="1"/>
      <c r="J29" s="1"/>
      <c r="K29" s="2"/>
    </row>
    <row r="30" spans="1:11" x14ac:dyDescent="0.3">
      <c r="A30">
        <v>2024</v>
      </c>
      <c r="B30" t="s">
        <v>55</v>
      </c>
      <c r="C30" t="s">
        <v>28</v>
      </c>
      <c r="D30" s="1">
        <v>19970</v>
      </c>
      <c r="E30" s="1">
        <v>190736</v>
      </c>
      <c r="F30" s="2">
        <v>61821</v>
      </c>
      <c r="I30" s="1"/>
      <c r="J30" s="1"/>
      <c r="K30" s="2"/>
    </row>
    <row r="31" spans="1:11" x14ac:dyDescent="0.3">
      <c r="A31">
        <v>2024</v>
      </c>
      <c r="B31" t="s">
        <v>55</v>
      </c>
      <c r="C31" t="s">
        <v>29</v>
      </c>
      <c r="D31" s="1">
        <v>12323</v>
      </c>
      <c r="E31" s="1">
        <v>82831</v>
      </c>
      <c r="F31" s="2">
        <v>77486</v>
      </c>
      <c r="I31" s="1"/>
      <c r="J31" s="1"/>
      <c r="K31" s="2"/>
    </row>
    <row r="32" spans="1:11" x14ac:dyDescent="0.3">
      <c r="A32">
        <v>2024</v>
      </c>
      <c r="B32" t="s">
        <v>55</v>
      </c>
      <c r="C32" t="s">
        <v>30</v>
      </c>
      <c r="D32" s="1">
        <v>51837</v>
      </c>
      <c r="E32" s="1">
        <v>671419</v>
      </c>
      <c r="F32" s="2">
        <v>90784</v>
      </c>
      <c r="I32" s="1"/>
      <c r="J32" s="1"/>
      <c r="K32" s="2"/>
    </row>
    <row r="33" spans="1:11" x14ac:dyDescent="0.3">
      <c r="A33">
        <v>2024</v>
      </c>
      <c r="B33" t="s">
        <v>55</v>
      </c>
      <c r="C33" t="s">
        <v>31</v>
      </c>
      <c r="D33" s="1">
        <v>10669</v>
      </c>
      <c r="E33" s="1">
        <v>106930</v>
      </c>
      <c r="F33" s="2">
        <v>61899</v>
      </c>
      <c r="I33" s="1"/>
      <c r="J33" s="1"/>
      <c r="K33" s="2"/>
    </row>
    <row r="34" spans="1:11" x14ac:dyDescent="0.3">
      <c r="A34">
        <v>2024</v>
      </c>
      <c r="B34" t="s">
        <v>55</v>
      </c>
      <c r="C34" t="s">
        <v>32</v>
      </c>
      <c r="D34" s="1">
        <v>112471</v>
      </c>
      <c r="E34" s="1">
        <v>1339421</v>
      </c>
      <c r="F34" s="2">
        <v>95057</v>
      </c>
      <c r="I34" s="1"/>
      <c r="J34" s="1"/>
      <c r="K34" s="2"/>
    </row>
    <row r="35" spans="1:11" x14ac:dyDescent="0.3">
      <c r="A35">
        <v>2024</v>
      </c>
      <c r="B35" t="s">
        <v>55</v>
      </c>
      <c r="C35" t="s">
        <v>33</v>
      </c>
      <c r="D35" s="1">
        <v>58892</v>
      </c>
      <c r="E35" s="1">
        <v>635554</v>
      </c>
      <c r="F35" s="2">
        <v>65609</v>
      </c>
      <c r="I35" s="1"/>
      <c r="J35" s="1"/>
      <c r="K35" s="2"/>
    </row>
    <row r="36" spans="1:11" x14ac:dyDescent="0.3">
      <c r="A36">
        <v>2024</v>
      </c>
      <c r="B36" t="s">
        <v>55</v>
      </c>
      <c r="C36" t="s">
        <v>34</v>
      </c>
      <c r="D36" s="1">
        <v>5130</v>
      </c>
      <c r="E36" s="1">
        <v>34560</v>
      </c>
      <c r="F36" s="2">
        <v>61774</v>
      </c>
      <c r="I36" s="1"/>
      <c r="J36" s="1"/>
      <c r="K36" s="2"/>
    </row>
    <row r="37" spans="1:11" x14ac:dyDescent="0.3">
      <c r="A37">
        <v>2024</v>
      </c>
      <c r="B37" t="s">
        <v>55</v>
      </c>
      <c r="C37" t="s">
        <v>35</v>
      </c>
      <c r="D37" s="1">
        <v>53280</v>
      </c>
      <c r="E37" s="1">
        <v>729430</v>
      </c>
      <c r="F37" s="2">
        <v>64006</v>
      </c>
      <c r="I37" s="1"/>
      <c r="J37" s="1"/>
      <c r="K37" s="2"/>
    </row>
    <row r="38" spans="1:11" x14ac:dyDescent="0.3">
      <c r="A38">
        <v>2024</v>
      </c>
      <c r="B38" t="s">
        <v>55</v>
      </c>
      <c r="C38" t="s">
        <v>36</v>
      </c>
      <c r="D38" s="1">
        <v>20594</v>
      </c>
      <c r="E38" s="1">
        <v>191261</v>
      </c>
      <c r="F38" s="2">
        <v>52227</v>
      </c>
      <c r="I38" s="1"/>
      <c r="J38" s="1"/>
      <c r="K38" s="2"/>
    </row>
    <row r="39" spans="1:11" x14ac:dyDescent="0.3">
      <c r="A39">
        <v>2024</v>
      </c>
      <c r="B39" t="s">
        <v>55</v>
      </c>
      <c r="C39" t="s">
        <v>37</v>
      </c>
      <c r="D39" s="1">
        <v>25462</v>
      </c>
      <c r="E39" s="1">
        <v>248627</v>
      </c>
      <c r="F39" s="2">
        <v>69806</v>
      </c>
      <c r="I39" s="1"/>
      <c r="J39" s="1"/>
      <c r="K39" s="2"/>
    </row>
    <row r="40" spans="1:11" x14ac:dyDescent="0.3">
      <c r="A40">
        <v>2024</v>
      </c>
      <c r="B40" t="s">
        <v>55</v>
      </c>
      <c r="C40" t="s">
        <v>38</v>
      </c>
      <c r="D40" s="1">
        <v>63415</v>
      </c>
      <c r="E40" s="1">
        <v>806555</v>
      </c>
      <c r="F40" s="2">
        <v>78092</v>
      </c>
      <c r="I40" s="1"/>
      <c r="J40" s="1"/>
      <c r="K40" s="2"/>
    </row>
    <row r="41" spans="1:11" x14ac:dyDescent="0.3">
      <c r="A41">
        <v>2024</v>
      </c>
      <c r="B41" t="s">
        <v>55</v>
      </c>
      <c r="C41" t="s">
        <v>39</v>
      </c>
      <c r="D41" s="1">
        <v>1130</v>
      </c>
      <c r="E41" s="1">
        <v>11134</v>
      </c>
      <c r="F41" s="2">
        <v>48930</v>
      </c>
    </row>
    <row r="42" spans="1:11" x14ac:dyDescent="0.3">
      <c r="A42">
        <v>2024</v>
      </c>
      <c r="B42" t="s">
        <v>55</v>
      </c>
      <c r="C42" t="s">
        <v>40</v>
      </c>
      <c r="D42" s="1">
        <v>19698</v>
      </c>
      <c r="E42" s="1">
        <v>249859</v>
      </c>
      <c r="F42" s="2">
        <v>117086</v>
      </c>
    </row>
    <row r="43" spans="1:11" x14ac:dyDescent="0.3">
      <c r="A43">
        <v>2024</v>
      </c>
      <c r="B43" t="s">
        <v>55</v>
      </c>
      <c r="C43" t="s">
        <v>41</v>
      </c>
      <c r="D43" s="1">
        <v>1066</v>
      </c>
      <c r="E43" s="1">
        <v>14648</v>
      </c>
      <c r="F43" s="2">
        <v>65747</v>
      </c>
    </row>
    <row r="44" spans="1:11" x14ac:dyDescent="0.3">
      <c r="A44">
        <v>2024</v>
      </c>
      <c r="B44" t="s">
        <v>55</v>
      </c>
      <c r="C44" t="s">
        <v>42</v>
      </c>
      <c r="D44">
        <v>571</v>
      </c>
      <c r="E44" s="1">
        <v>4095</v>
      </c>
      <c r="F44" s="2">
        <v>41096</v>
      </c>
    </row>
    <row r="45" spans="1:11" x14ac:dyDescent="0.3">
      <c r="A45">
        <v>2024</v>
      </c>
      <c r="B45" t="s">
        <v>55</v>
      </c>
      <c r="C45" t="s">
        <v>43</v>
      </c>
      <c r="D45" s="1">
        <v>2073</v>
      </c>
      <c r="E45" s="1">
        <v>17603</v>
      </c>
      <c r="F45" s="2">
        <v>48671</v>
      </c>
    </row>
    <row r="46" spans="1:11" x14ac:dyDescent="0.3">
      <c r="A46">
        <v>2024</v>
      </c>
      <c r="B46" t="s">
        <v>55</v>
      </c>
      <c r="C46" t="s">
        <v>44</v>
      </c>
      <c r="D46" s="1">
        <v>6971</v>
      </c>
      <c r="E46" s="1">
        <v>101358</v>
      </c>
      <c r="F46" s="2">
        <v>36964</v>
      </c>
    </row>
    <row r="47" spans="1:11" x14ac:dyDescent="0.3">
      <c r="A47">
        <v>2024</v>
      </c>
      <c r="B47" t="s">
        <v>55</v>
      </c>
      <c r="C47" t="s">
        <v>45</v>
      </c>
      <c r="D47" s="1">
        <v>1117</v>
      </c>
      <c r="E47" s="1">
        <v>18455</v>
      </c>
      <c r="F47" s="2">
        <v>78059</v>
      </c>
    </row>
    <row r="48" spans="1:11" x14ac:dyDescent="0.3">
      <c r="A48">
        <v>2024</v>
      </c>
      <c r="B48" t="s">
        <v>55</v>
      </c>
      <c r="C48" t="s">
        <v>46</v>
      </c>
      <c r="D48" s="1">
        <v>2872</v>
      </c>
      <c r="E48" s="1">
        <v>30781</v>
      </c>
      <c r="F48" s="2">
        <v>41928</v>
      </c>
    </row>
    <row r="49" spans="1:6" x14ac:dyDescent="0.3">
      <c r="A49">
        <v>2024</v>
      </c>
      <c r="B49" t="s">
        <v>55</v>
      </c>
      <c r="C49" t="s">
        <v>47</v>
      </c>
      <c r="D49" s="1">
        <v>1440</v>
      </c>
      <c r="E49" s="1">
        <v>19091</v>
      </c>
      <c r="F49" s="2">
        <v>83063</v>
      </c>
    </row>
    <row r="50" spans="1:6" x14ac:dyDescent="0.3">
      <c r="A50">
        <v>2024</v>
      </c>
      <c r="B50" t="s">
        <v>56</v>
      </c>
      <c r="C50" t="s">
        <v>0</v>
      </c>
      <c r="D50" s="1">
        <v>10335</v>
      </c>
      <c r="E50" s="1">
        <v>92772</v>
      </c>
      <c r="F50" s="2">
        <v>59279</v>
      </c>
    </row>
    <row r="51" spans="1:6" x14ac:dyDescent="0.3">
      <c r="A51">
        <v>2024</v>
      </c>
      <c r="B51" t="s">
        <v>56</v>
      </c>
      <c r="C51" t="s">
        <v>1</v>
      </c>
      <c r="D51" s="1">
        <v>14006</v>
      </c>
      <c r="E51" s="1">
        <v>173852</v>
      </c>
      <c r="F51" s="2">
        <v>63056</v>
      </c>
    </row>
    <row r="52" spans="1:6" x14ac:dyDescent="0.3">
      <c r="A52">
        <v>2024</v>
      </c>
      <c r="B52" t="s">
        <v>56</v>
      </c>
      <c r="C52" t="s">
        <v>2</v>
      </c>
      <c r="D52" s="1">
        <v>7277</v>
      </c>
      <c r="E52" s="1">
        <v>53142</v>
      </c>
      <c r="F52" s="2">
        <v>52247</v>
      </c>
    </row>
    <row r="53" spans="1:6" x14ac:dyDescent="0.3">
      <c r="A53">
        <v>2024</v>
      </c>
      <c r="B53" t="s">
        <v>56</v>
      </c>
      <c r="C53" t="s">
        <v>3</v>
      </c>
      <c r="D53" s="1">
        <v>86322</v>
      </c>
      <c r="E53" s="1">
        <v>855879</v>
      </c>
      <c r="F53" s="2">
        <v>76740</v>
      </c>
    </row>
    <row r="54" spans="1:6" x14ac:dyDescent="0.3">
      <c r="A54">
        <v>2024</v>
      </c>
      <c r="B54" t="s">
        <v>56</v>
      </c>
      <c r="C54" t="s">
        <v>4</v>
      </c>
      <c r="D54" s="1">
        <v>21025</v>
      </c>
      <c r="E54" s="1">
        <v>174730</v>
      </c>
      <c r="F54" s="2">
        <v>68209</v>
      </c>
    </row>
    <row r="55" spans="1:6" x14ac:dyDescent="0.3">
      <c r="A55">
        <v>2024</v>
      </c>
      <c r="B55" t="s">
        <v>56</v>
      </c>
      <c r="C55" t="s">
        <v>5</v>
      </c>
      <c r="D55" s="1">
        <v>9415</v>
      </c>
      <c r="E55" s="1">
        <v>56915</v>
      </c>
      <c r="F55" s="2">
        <v>75591</v>
      </c>
    </row>
    <row r="56" spans="1:6" x14ac:dyDescent="0.3">
      <c r="A56">
        <v>2024</v>
      </c>
      <c r="B56" t="s">
        <v>56</v>
      </c>
      <c r="C56" t="s">
        <v>6</v>
      </c>
      <c r="D56" s="1">
        <v>3106</v>
      </c>
      <c r="E56" s="1">
        <v>22403</v>
      </c>
      <c r="F56" s="2">
        <v>64977</v>
      </c>
    </row>
    <row r="57" spans="1:6" x14ac:dyDescent="0.3">
      <c r="A57">
        <v>2024</v>
      </c>
      <c r="B57" t="s">
        <v>56</v>
      </c>
      <c r="C57" t="s">
        <v>7</v>
      </c>
      <c r="D57" s="1">
        <v>76308</v>
      </c>
      <c r="E57" s="1">
        <v>561991</v>
      </c>
      <c r="F57" s="2">
        <v>55910</v>
      </c>
    </row>
    <row r="58" spans="1:6" x14ac:dyDescent="0.3">
      <c r="A58">
        <v>2024</v>
      </c>
      <c r="B58" t="s">
        <v>56</v>
      </c>
      <c r="C58" t="s">
        <v>8</v>
      </c>
      <c r="D58" s="1">
        <v>22906</v>
      </c>
      <c r="E58" s="1">
        <v>200710</v>
      </c>
      <c r="F58" s="2">
        <v>66214</v>
      </c>
    </row>
    <row r="59" spans="1:6" x14ac:dyDescent="0.3">
      <c r="A59">
        <v>2024</v>
      </c>
      <c r="B59" t="s">
        <v>56</v>
      </c>
      <c r="C59" t="s">
        <v>9</v>
      </c>
      <c r="D59" s="1">
        <v>9159</v>
      </c>
      <c r="E59" s="1">
        <v>53385</v>
      </c>
      <c r="F59" s="2">
        <v>48649</v>
      </c>
    </row>
    <row r="60" spans="1:6" x14ac:dyDescent="0.3">
      <c r="A60">
        <v>2024</v>
      </c>
      <c r="B60" t="s">
        <v>56</v>
      </c>
      <c r="C60" t="s">
        <v>10</v>
      </c>
      <c r="D60" s="1">
        <v>32538</v>
      </c>
      <c r="E60" s="1">
        <v>216664</v>
      </c>
      <c r="F60" s="2">
        <v>76581</v>
      </c>
    </row>
    <row r="61" spans="1:6" x14ac:dyDescent="0.3">
      <c r="A61">
        <v>2024</v>
      </c>
      <c r="B61" t="s">
        <v>56</v>
      </c>
      <c r="C61" t="s">
        <v>11</v>
      </c>
      <c r="D61" s="1">
        <v>15617</v>
      </c>
      <c r="E61" s="1">
        <v>144001</v>
      </c>
      <c r="F61" s="2">
        <v>62619</v>
      </c>
    </row>
    <row r="62" spans="1:6" x14ac:dyDescent="0.3">
      <c r="A62">
        <v>2024</v>
      </c>
      <c r="B62" t="s">
        <v>56</v>
      </c>
      <c r="C62" t="s">
        <v>12</v>
      </c>
      <c r="D62" s="1">
        <v>9434</v>
      </c>
      <c r="E62" s="1">
        <v>76561</v>
      </c>
      <c r="F62" s="2">
        <v>61831</v>
      </c>
    </row>
    <row r="63" spans="1:6" x14ac:dyDescent="0.3">
      <c r="A63">
        <v>2024</v>
      </c>
      <c r="B63" t="s">
        <v>56</v>
      </c>
      <c r="C63" t="s">
        <v>13</v>
      </c>
      <c r="D63" s="1">
        <v>7355</v>
      </c>
      <c r="E63" s="1">
        <v>63118</v>
      </c>
      <c r="F63" s="2">
        <v>59126</v>
      </c>
    </row>
    <row r="64" spans="1:6" x14ac:dyDescent="0.3">
      <c r="A64">
        <v>2024</v>
      </c>
      <c r="B64" t="s">
        <v>56</v>
      </c>
      <c r="C64" t="s">
        <v>14</v>
      </c>
      <c r="D64" s="1">
        <v>9832</v>
      </c>
      <c r="E64" s="1">
        <v>77924</v>
      </c>
      <c r="F64" s="2">
        <v>58484</v>
      </c>
    </row>
    <row r="65" spans="1:6" x14ac:dyDescent="0.3">
      <c r="A65">
        <v>2024</v>
      </c>
      <c r="B65" t="s">
        <v>56</v>
      </c>
      <c r="C65" t="s">
        <v>15</v>
      </c>
      <c r="D65" s="1">
        <v>11349</v>
      </c>
      <c r="E65" s="1">
        <v>121521</v>
      </c>
      <c r="F65" s="2">
        <v>65354</v>
      </c>
    </row>
    <row r="66" spans="1:6" x14ac:dyDescent="0.3">
      <c r="A66">
        <v>2024</v>
      </c>
      <c r="B66" t="s">
        <v>56</v>
      </c>
      <c r="C66" t="s">
        <v>16</v>
      </c>
      <c r="D66" s="1">
        <v>5732</v>
      </c>
      <c r="E66" s="1">
        <v>30344</v>
      </c>
      <c r="F66" s="2">
        <v>55607</v>
      </c>
    </row>
    <row r="67" spans="1:6" x14ac:dyDescent="0.3">
      <c r="A67">
        <v>2024</v>
      </c>
      <c r="B67" t="s">
        <v>56</v>
      </c>
      <c r="C67" t="s">
        <v>17</v>
      </c>
      <c r="D67" s="1">
        <v>16346</v>
      </c>
      <c r="E67" s="1">
        <v>160039</v>
      </c>
      <c r="F67" s="2">
        <v>70642</v>
      </c>
    </row>
    <row r="68" spans="1:6" x14ac:dyDescent="0.3">
      <c r="A68">
        <v>2024</v>
      </c>
      <c r="B68" t="s">
        <v>56</v>
      </c>
      <c r="C68" t="s">
        <v>18</v>
      </c>
      <c r="D68" s="1">
        <v>21102</v>
      </c>
      <c r="E68" s="1">
        <v>152366</v>
      </c>
      <c r="F68" s="2">
        <v>84958</v>
      </c>
    </row>
    <row r="69" spans="1:6" x14ac:dyDescent="0.3">
      <c r="A69">
        <v>2024</v>
      </c>
      <c r="B69" t="s">
        <v>56</v>
      </c>
      <c r="C69" t="s">
        <v>19</v>
      </c>
      <c r="D69" s="1">
        <v>21646</v>
      </c>
      <c r="E69" s="1">
        <v>164028</v>
      </c>
      <c r="F69" s="2">
        <v>67631</v>
      </c>
    </row>
    <row r="70" spans="1:6" x14ac:dyDescent="0.3">
      <c r="A70">
        <v>2024</v>
      </c>
      <c r="B70" t="s">
        <v>56</v>
      </c>
      <c r="C70" t="s">
        <v>20</v>
      </c>
      <c r="D70" s="1">
        <v>16952</v>
      </c>
      <c r="E70" s="1">
        <v>123866</v>
      </c>
      <c r="F70" s="2">
        <v>72942</v>
      </c>
    </row>
    <row r="71" spans="1:6" x14ac:dyDescent="0.3">
      <c r="A71">
        <v>2024</v>
      </c>
      <c r="B71" t="s">
        <v>56</v>
      </c>
      <c r="C71" t="s">
        <v>21</v>
      </c>
      <c r="D71" s="1">
        <v>5839</v>
      </c>
      <c r="E71" s="1">
        <v>43888</v>
      </c>
      <c r="F71" s="2">
        <v>53779</v>
      </c>
    </row>
    <row r="72" spans="1:6" x14ac:dyDescent="0.3">
      <c r="A72">
        <v>2024</v>
      </c>
      <c r="B72" t="s">
        <v>56</v>
      </c>
      <c r="C72" t="s">
        <v>22</v>
      </c>
      <c r="D72" s="1">
        <v>15735</v>
      </c>
      <c r="E72" s="1">
        <v>126375</v>
      </c>
      <c r="F72" s="2">
        <v>64664</v>
      </c>
    </row>
    <row r="73" spans="1:6" x14ac:dyDescent="0.3">
      <c r="A73">
        <v>2024</v>
      </c>
      <c r="B73" t="s">
        <v>56</v>
      </c>
      <c r="C73" t="s">
        <v>23</v>
      </c>
      <c r="D73" s="1">
        <v>6813</v>
      </c>
      <c r="E73" s="1">
        <v>30793</v>
      </c>
      <c r="F73" s="2">
        <v>55897</v>
      </c>
    </row>
    <row r="74" spans="1:6" x14ac:dyDescent="0.3">
      <c r="A74">
        <v>2024</v>
      </c>
      <c r="B74" t="s">
        <v>56</v>
      </c>
      <c r="C74" t="s">
        <v>24</v>
      </c>
      <c r="D74" s="1">
        <v>7000</v>
      </c>
      <c r="E74" s="1">
        <v>55249</v>
      </c>
      <c r="F74" s="2">
        <v>56548</v>
      </c>
    </row>
    <row r="75" spans="1:6" x14ac:dyDescent="0.3">
      <c r="A75">
        <v>2024</v>
      </c>
      <c r="B75" t="s">
        <v>56</v>
      </c>
      <c r="C75" t="s">
        <v>25</v>
      </c>
      <c r="D75" s="1">
        <v>5757</v>
      </c>
      <c r="E75" s="1">
        <v>93450</v>
      </c>
      <c r="F75" s="2">
        <v>67902</v>
      </c>
    </row>
    <row r="76" spans="1:6" x14ac:dyDescent="0.3">
      <c r="A76">
        <v>2024</v>
      </c>
      <c r="B76" t="s">
        <v>56</v>
      </c>
      <c r="C76" t="s">
        <v>26</v>
      </c>
      <c r="D76" s="1">
        <v>4901</v>
      </c>
      <c r="E76" s="1">
        <v>27866</v>
      </c>
      <c r="F76" s="2">
        <v>68870</v>
      </c>
    </row>
    <row r="77" spans="1:6" x14ac:dyDescent="0.3">
      <c r="A77">
        <v>2024</v>
      </c>
      <c r="B77" t="s">
        <v>56</v>
      </c>
      <c r="C77" t="s">
        <v>27</v>
      </c>
      <c r="D77" s="1">
        <v>22711</v>
      </c>
      <c r="E77" s="1">
        <v>151469</v>
      </c>
      <c r="F77" s="2">
        <v>77924</v>
      </c>
    </row>
    <row r="78" spans="1:6" x14ac:dyDescent="0.3">
      <c r="A78">
        <v>2024</v>
      </c>
      <c r="B78" t="s">
        <v>56</v>
      </c>
      <c r="C78" t="s">
        <v>28</v>
      </c>
      <c r="D78" s="1">
        <v>5485</v>
      </c>
      <c r="E78" s="1">
        <v>48577</v>
      </c>
      <c r="F78" s="2">
        <v>53439</v>
      </c>
    </row>
    <row r="79" spans="1:6" x14ac:dyDescent="0.3">
      <c r="A79">
        <v>2024</v>
      </c>
      <c r="B79" t="s">
        <v>56</v>
      </c>
      <c r="C79" t="s">
        <v>29</v>
      </c>
      <c r="D79" s="1">
        <v>50929</v>
      </c>
      <c r="E79" s="1">
        <v>361821</v>
      </c>
      <c r="F79" s="2">
        <v>78199</v>
      </c>
    </row>
    <row r="80" spans="1:6" x14ac:dyDescent="0.3">
      <c r="A80">
        <v>2024</v>
      </c>
      <c r="B80" t="s">
        <v>56</v>
      </c>
      <c r="C80" t="s">
        <v>30</v>
      </c>
      <c r="D80" s="1">
        <v>29231</v>
      </c>
      <c r="E80" s="1">
        <v>229369</v>
      </c>
      <c r="F80" s="2">
        <v>59177</v>
      </c>
    </row>
    <row r="81" spans="1:6" x14ac:dyDescent="0.3">
      <c r="A81">
        <v>2024</v>
      </c>
      <c r="B81" t="s">
        <v>56</v>
      </c>
      <c r="C81" t="s">
        <v>31</v>
      </c>
      <c r="D81" s="1">
        <v>3669</v>
      </c>
      <c r="E81" s="1">
        <v>25364</v>
      </c>
      <c r="F81" s="2">
        <v>66729</v>
      </c>
    </row>
    <row r="82" spans="1:6" x14ac:dyDescent="0.3">
      <c r="A82">
        <v>2024</v>
      </c>
      <c r="B82" t="s">
        <v>56</v>
      </c>
      <c r="C82" t="s">
        <v>32</v>
      </c>
      <c r="D82" s="1">
        <v>23650</v>
      </c>
      <c r="E82" s="1">
        <v>218531</v>
      </c>
      <c r="F82" s="2">
        <v>65104</v>
      </c>
    </row>
    <row r="83" spans="1:6" x14ac:dyDescent="0.3">
      <c r="A83">
        <v>2024</v>
      </c>
      <c r="B83" t="s">
        <v>56</v>
      </c>
      <c r="C83" t="s">
        <v>33</v>
      </c>
      <c r="D83" s="1">
        <v>9855</v>
      </c>
      <c r="E83" s="1">
        <v>78772</v>
      </c>
      <c r="F83" s="2">
        <v>55099</v>
      </c>
    </row>
    <row r="84" spans="1:6" x14ac:dyDescent="0.3">
      <c r="A84">
        <v>2024</v>
      </c>
      <c r="B84" t="s">
        <v>56</v>
      </c>
      <c r="C84" t="s">
        <v>34</v>
      </c>
      <c r="D84" s="1">
        <v>14899</v>
      </c>
      <c r="E84" s="1">
        <v>107568</v>
      </c>
      <c r="F84" s="2">
        <v>66876</v>
      </c>
    </row>
    <row r="85" spans="1:6" x14ac:dyDescent="0.3">
      <c r="A85">
        <v>2024</v>
      </c>
      <c r="B85" t="s">
        <v>56</v>
      </c>
      <c r="C85" t="s">
        <v>35</v>
      </c>
      <c r="D85" s="1">
        <v>29345</v>
      </c>
      <c r="E85" s="1">
        <v>241570</v>
      </c>
      <c r="F85" s="2">
        <v>70639</v>
      </c>
    </row>
    <row r="86" spans="1:6" x14ac:dyDescent="0.3">
      <c r="A86">
        <v>2024</v>
      </c>
      <c r="B86" t="s">
        <v>56</v>
      </c>
      <c r="C86" t="s">
        <v>36</v>
      </c>
      <c r="D86" s="1">
        <v>3878</v>
      </c>
      <c r="E86" s="1">
        <v>18924</v>
      </c>
      <c r="F86" s="2">
        <v>66955</v>
      </c>
    </row>
    <row r="87" spans="1:6" x14ac:dyDescent="0.3">
      <c r="A87">
        <v>2024</v>
      </c>
      <c r="B87" t="s">
        <v>56</v>
      </c>
      <c r="C87" t="s">
        <v>37</v>
      </c>
      <c r="D87" s="1">
        <v>13348</v>
      </c>
      <c r="E87" s="1">
        <v>103647</v>
      </c>
      <c r="F87" s="2">
        <v>57906</v>
      </c>
    </row>
    <row r="88" spans="1:6" x14ac:dyDescent="0.3">
      <c r="A88">
        <v>2024</v>
      </c>
      <c r="B88" t="s">
        <v>56</v>
      </c>
      <c r="C88" t="s">
        <v>38</v>
      </c>
      <c r="D88" s="1">
        <v>3954</v>
      </c>
      <c r="E88" s="1">
        <v>24410</v>
      </c>
      <c r="F88" s="2">
        <v>54005</v>
      </c>
    </row>
    <row r="89" spans="1:6" x14ac:dyDescent="0.3">
      <c r="A89">
        <v>2024</v>
      </c>
      <c r="B89" t="s">
        <v>56</v>
      </c>
      <c r="C89" t="s">
        <v>39</v>
      </c>
      <c r="D89" s="1">
        <v>12894</v>
      </c>
      <c r="E89" s="1">
        <v>130050</v>
      </c>
      <c r="F89" s="2">
        <v>62259</v>
      </c>
    </row>
    <row r="90" spans="1:6" x14ac:dyDescent="0.3">
      <c r="A90">
        <v>2024</v>
      </c>
      <c r="B90" t="s">
        <v>56</v>
      </c>
      <c r="C90" t="s">
        <v>40</v>
      </c>
      <c r="D90" s="1">
        <v>55014</v>
      </c>
      <c r="E90" s="1">
        <v>737125</v>
      </c>
      <c r="F90" s="2">
        <v>68929</v>
      </c>
    </row>
    <row r="91" spans="1:6" x14ac:dyDescent="0.3">
      <c r="A91">
        <v>2024</v>
      </c>
      <c r="B91" t="s">
        <v>56</v>
      </c>
      <c r="C91" t="s">
        <v>41</v>
      </c>
      <c r="D91" s="1">
        <v>12932</v>
      </c>
      <c r="E91" s="1">
        <v>115416</v>
      </c>
      <c r="F91" s="2">
        <v>57474</v>
      </c>
    </row>
    <row r="92" spans="1:6" x14ac:dyDescent="0.3">
      <c r="A92">
        <v>2024</v>
      </c>
      <c r="B92" t="s">
        <v>56</v>
      </c>
      <c r="C92" t="s">
        <v>42</v>
      </c>
      <c r="D92" s="1">
        <v>2839</v>
      </c>
      <c r="E92" s="1">
        <v>14269</v>
      </c>
      <c r="F92" s="2">
        <v>55130</v>
      </c>
    </row>
    <row r="93" spans="1:6" x14ac:dyDescent="0.3">
      <c r="A93">
        <v>2024</v>
      </c>
      <c r="B93" t="s">
        <v>56</v>
      </c>
      <c r="C93" t="s">
        <v>43</v>
      </c>
      <c r="D93" s="1">
        <v>21412</v>
      </c>
      <c r="E93" s="1">
        <v>201137</v>
      </c>
      <c r="F93" s="2">
        <v>63521</v>
      </c>
    </row>
    <row r="94" spans="1:6" x14ac:dyDescent="0.3">
      <c r="A94">
        <v>2024</v>
      </c>
      <c r="B94" t="s">
        <v>56</v>
      </c>
      <c r="C94" t="s">
        <v>44</v>
      </c>
      <c r="D94" s="1">
        <v>27072</v>
      </c>
      <c r="E94" s="1">
        <v>199964</v>
      </c>
      <c r="F94" s="2">
        <v>69827</v>
      </c>
    </row>
    <row r="95" spans="1:6" x14ac:dyDescent="0.3">
      <c r="A95">
        <v>2024</v>
      </c>
      <c r="B95" t="s">
        <v>56</v>
      </c>
      <c r="C95" t="s">
        <v>45</v>
      </c>
      <c r="D95" s="1">
        <v>4300</v>
      </c>
      <c r="E95" s="1">
        <v>29583</v>
      </c>
      <c r="F95" s="2">
        <v>60489</v>
      </c>
    </row>
    <row r="96" spans="1:6" x14ac:dyDescent="0.3">
      <c r="A96">
        <v>2024</v>
      </c>
      <c r="B96" t="s">
        <v>56</v>
      </c>
      <c r="C96" t="s">
        <v>46</v>
      </c>
      <c r="D96" s="1">
        <v>14760</v>
      </c>
      <c r="E96" s="1">
        <v>123846</v>
      </c>
      <c r="F96" s="2">
        <v>66423</v>
      </c>
    </row>
    <row r="97" spans="1:6" x14ac:dyDescent="0.3">
      <c r="A97">
        <v>2024</v>
      </c>
      <c r="B97" t="s">
        <v>56</v>
      </c>
      <c r="C97" t="s">
        <v>47</v>
      </c>
      <c r="D97" s="1">
        <v>3478</v>
      </c>
      <c r="E97" s="1">
        <v>21200</v>
      </c>
      <c r="F97" s="2">
        <v>56640</v>
      </c>
    </row>
    <row r="98" spans="1:6" x14ac:dyDescent="0.3">
      <c r="A98">
        <v>2024</v>
      </c>
      <c r="B98" t="s">
        <v>57</v>
      </c>
      <c r="C98" t="s">
        <v>0</v>
      </c>
      <c r="D98" s="1">
        <v>5773</v>
      </c>
      <c r="E98" s="1">
        <v>258328</v>
      </c>
      <c r="F98" s="2">
        <v>60387</v>
      </c>
    </row>
    <row r="99" spans="1:6" x14ac:dyDescent="0.3">
      <c r="A99">
        <v>2024</v>
      </c>
      <c r="B99" t="s">
        <v>57</v>
      </c>
      <c r="C99" t="s">
        <v>1</v>
      </c>
      <c r="D99" s="1">
        <v>5213</v>
      </c>
      <c r="E99" s="1">
        <v>177110</v>
      </c>
      <c r="F99" s="2">
        <v>82375</v>
      </c>
    </row>
    <row r="100" spans="1:6" x14ac:dyDescent="0.3">
      <c r="A100">
        <v>2024</v>
      </c>
      <c r="B100" t="s">
        <v>57</v>
      </c>
      <c r="C100" t="s">
        <v>2</v>
      </c>
      <c r="D100" s="1">
        <v>2961</v>
      </c>
      <c r="E100" s="1">
        <v>154922</v>
      </c>
      <c r="F100" s="2">
        <v>51570</v>
      </c>
    </row>
    <row r="101" spans="1:6" x14ac:dyDescent="0.3">
      <c r="A101">
        <v>2024</v>
      </c>
      <c r="B101" t="s">
        <v>57</v>
      </c>
      <c r="C101" t="s">
        <v>3</v>
      </c>
      <c r="D101" s="1">
        <v>44156</v>
      </c>
      <c r="E101" s="1">
        <v>1263780</v>
      </c>
      <c r="F101" s="2">
        <v>109888</v>
      </c>
    </row>
    <row r="102" spans="1:6" x14ac:dyDescent="0.3">
      <c r="A102">
        <v>2024</v>
      </c>
      <c r="B102" t="s">
        <v>57</v>
      </c>
      <c r="C102" t="s">
        <v>4</v>
      </c>
      <c r="D102" s="1">
        <v>5888</v>
      </c>
      <c r="E102" s="1">
        <v>146473</v>
      </c>
      <c r="F102" s="2">
        <v>77207</v>
      </c>
    </row>
    <row r="103" spans="1:6" x14ac:dyDescent="0.3">
      <c r="A103">
        <v>2024</v>
      </c>
      <c r="B103" t="s">
        <v>57</v>
      </c>
      <c r="C103" t="s">
        <v>5</v>
      </c>
      <c r="D103" s="1">
        <v>4386</v>
      </c>
      <c r="E103" s="1">
        <v>153812</v>
      </c>
      <c r="F103" s="2">
        <v>87706</v>
      </c>
    </row>
    <row r="104" spans="1:6" x14ac:dyDescent="0.3">
      <c r="A104">
        <v>2024</v>
      </c>
      <c r="B104" t="s">
        <v>57</v>
      </c>
      <c r="C104" t="s">
        <v>6</v>
      </c>
      <c r="D104">
        <v>678</v>
      </c>
      <c r="E104" s="1">
        <v>25520</v>
      </c>
      <c r="F104" s="2">
        <v>68049</v>
      </c>
    </row>
    <row r="105" spans="1:6" x14ac:dyDescent="0.3">
      <c r="A105">
        <v>2024</v>
      </c>
      <c r="B105" t="s">
        <v>57</v>
      </c>
      <c r="C105" t="s">
        <v>7</v>
      </c>
      <c r="D105" s="1">
        <v>21275</v>
      </c>
      <c r="E105" s="1">
        <v>376070</v>
      </c>
      <c r="F105" s="2">
        <v>66758</v>
      </c>
    </row>
    <row r="106" spans="1:6" x14ac:dyDescent="0.3">
      <c r="A106">
        <v>2024</v>
      </c>
      <c r="B106" t="s">
        <v>57</v>
      </c>
      <c r="C106" t="s">
        <v>8</v>
      </c>
      <c r="D106" s="1">
        <v>10646</v>
      </c>
      <c r="E106" s="1">
        <v>382938</v>
      </c>
      <c r="F106" s="2">
        <v>60184</v>
      </c>
    </row>
    <row r="107" spans="1:6" x14ac:dyDescent="0.3">
      <c r="A107">
        <v>2024</v>
      </c>
      <c r="B107" t="s">
        <v>57</v>
      </c>
      <c r="C107" t="s">
        <v>9</v>
      </c>
      <c r="D107" s="1">
        <v>2886</v>
      </c>
      <c r="E107" s="1">
        <v>67700</v>
      </c>
      <c r="F107" s="2">
        <v>65603</v>
      </c>
    </row>
    <row r="108" spans="1:6" x14ac:dyDescent="0.3">
      <c r="A108">
        <v>2024</v>
      </c>
      <c r="B108" t="s">
        <v>57</v>
      </c>
      <c r="C108" t="s">
        <v>10</v>
      </c>
      <c r="D108" s="1">
        <v>18033</v>
      </c>
      <c r="E108" s="1">
        <v>554712</v>
      </c>
      <c r="F108" s="2">
        <v>74855</v>
      </c>
    </row>
    <row r="109" spans="1:6" x14ac:dyDescent="0.3">
      <c r="A109">
        <v>2024</v>
      </c>
      <c r="B109" t="s">
        <v>57</v>
      </c>
      <c r="C109" t="s">
        <v>11</v>
      </c>
      <c r="D109" s="1">
        <v>9255</v>
      </c>
      <c r="E109" s="1">
        <v>504460</v>
      </c>
      <c r="F109" s="2">
        <v>65092</v>
      </c>
    </row>
    <row r="110" spans="1:6" x14ac:dyDescent="0.3">
      <c r="A110">
        <v>2024</v>
      </c>
      <c r="B110" t="s">
        <v>57</v>
      </c>
      <c r="C110" t="s">
        <v>12</v>
      </c>
      <c r="D110" s="1">
        <v>4099</v>
      </c>
      <c r="E110" s="1">
        <v>216615</v>
      </c>
      <c r="F110" s="2">
        <v>63103</v>
      </c>
    </row>
    <row r="111" spans="1:6" x14ac:dyDescent="0.3">
      <c r="A111">
        <v>2024</v>
      </c>
      <c r="B111" t="s">
        <v>57</v>
      </c>
      <c r="C111" t="s">
        <v>13</v>
      </c>
      <c r="D111" s="1">
        <v>3109</v>
      </c>
      <c r="E111" s="1">
        <v>158784</v>
      </c>
      <c r="F111" s="2">
        <v>62958</v>
      </c>
    </row>
    <row r="112" spans="1:6" x14ac:dyDescent="0.3">
      <c r="A112">
        <v>2024</v>
      </c>
      <c r="B112" t="s">
        <v>57</v>
      </c>
      <c r="C112" t="s">
        <v>14</v>
      </c>
      <c r="D112" s="1">
        <v>4978</v>
      </c>
      <c r="E112" s="1">
        <v>235564</v>
      </c>
      <c r="F112" s="2">
        <v>62902</v>
      </c>
    </row>
    <row r="113" spans="1:6" x14ac:dyDescent="0.3">
      <c r="A113">
        <v>2024</v>
      </c>
      <c r="B113" t="s">
        <v>57</v>
      </c>
      <c r="C113" t="s">
        <v>15</v>
      </c>
      <c r="D113" s="1">
        <v>4501</v>
      </c>
      <c r="E113" s="1">
        <v>131430</v>
      </c>
      <c r="F113" s="2">
        <v>78183</v>
      </c>
    </row>
    <row r="114" spans="1:6" x14ac:dyDescent="0.3">
      <c r="A114">
        <v>2024</v>
      </c>
      <c r="B114" t="s">
        <v>57</v>
      </c>
      <c r="C114" t="s">
        <v>16</v>
      </c>
      <c r="D114" s="1">
        <v>1863</v>
      </c>
      <c r="E114" s="1">
        <v>50166</v>
      </c>
      <c r="F114" s="2">
        <v>61682</v>
      </c>
    </row>
    <row r="115" spans="1:6" x14ac:dyDescent="0.3">
      <c r="A115">
        <v>2024</v>
      </c>
      <c r="B115" t="s">
        <v>57</v>
      </c>
      <c r="C115" t="s">
        <v>17</v>
      </c>
      <c r="D115" s="1">
        <v>4168</v>
      </c>
      <c r="E115" s="1">
        <v>108500</v>
      </c>
      <c r="F115" s="2">
        <v>85426</v>
      </c>
    </row>
    <row r="116" spans="1:6" x14ac:dyDescent="0.3">
      <c r="A116">
        <v>2024</v>
      </c>
      <c r="B116" t="s">
        <v>57</v>
      </c>
      <c r="C116" t="s">
        <v>18</v>
      </c>
      <c r="D116" s="1">
        <v>6616</v>
      </c>
      <c r="E116" s="1">
        <v>229741</v>
      </c>
      <c r="F116" s="2">
        <v>96190</v>
      </c>
    </row>
    <row r="117" spans="1:6" x14ac:dyDescent="0.3">
      <c r="A117">
        <v>2024</v>
      </c>
      <c r="B117" t="s">
        <v>57</v>
      </c>
      <c r="C117" t="s">
        <v>19</v>
      </c>
      <c r="D117" s="1">
        <v>17437</v>
      </c>
      <c r="E117" s="1">
        <v>554767</v>
      </c>
      <c r="F117" s="2">
        <v>70769</v>
      </c>
    </row>
    <row r="118" spans="1:6" x14ac:dyDescent="0.3">
      <c r="A118">
        <v>2024</v>
      </c>
      <c r="B118" t="s">
        <v>57</v>
      </c>
      <c r="C118" t="s">
        <v>20</v>
      </c>
      <c r="D118" s="1">
        <v>8284</v>
      </c>
      <c r="E118" s="1">
        <v>309006</v>
      </c>
      <c r="F118" s="2">
        <v>70870</v>
      </c>
    </row>
    <row r="119" spans="1:6" x14ac:dyDescent="0.3">
      <c r="A119">
        <v>2024</v>
      </c>
      <c r="B119" t="s">
        <v>57</v>
      </c>
      <c r="C119" t="s">
        <v>21</v>
      </c>
      <c r="D119" s="1">
        <v>2375</v>
      </c>
      <c r="E119" s="1">
        <v>139480</v>
      </c>
      <c r="F119" s="2">
        <v>51918</v>
      </c>
    </row>
    <row r="120" spans="1:6" x14ac:dyDescent="0.3">
      <c r="A120">
        <v>2024</v>
      </c>
      <c r="B120" t="s">
        <v>57</v>
      </c>
      <c r="C120" t="s">
        <v>22</v>
      </c>
      <c r="D120" s="1">
        <v>6859</v>
      </c>
      <c r="E120" s="1">
        <v>266452</v>
      </c>
      <c r="F120" s="2">
        <v>61836</v>
      </c>
    </row>
    <row r="121" spans="1:6" x14ac:dyDescent="0.3">
      <c r="A121">
        <v>2024</v>
      </c>
      <c r="B121" t="s">
        <v>57</v>
      </c>
      <c r="C121" t="s">
        <v>23</v>
      </c>
      <c r="D121" s="1">
        <v>1672</v>
      </c>
      <c r="E121" s="1">
        <v>20421</v>
      </c>
      <c r="F121" s="2">
        <v>54178</v>
      </c>
    </row>
    <row r="122" spans="1:6" x14ac:dyDescent="0.3">
      <c r="A122">
        <v>2024</v>
      </c>
      <c r="B122" t="s">
        <v>57</v>
      </c>
      <c r="C122" t="s">
        <v>24</v>
      </c>
      <c r="D122" s="1">
        <v>1949</v>
      </c>
      <c r="E122" s="1">
        <v>97530</v>
      </c>
      <c r="F122" s="2">
        <v>56492</v>
      </c>
    </row>
    <row r="123" spans="1:6" x14ac:dyDescent="0.3">
      <c r="A123">
        <v>2024</v>
      </c>
      <c r="B123" t="s">
        <v>57</v>
      </c>
      <c r="C123" t="s">
        <v>25</v>
      </c>
      <c r="D123" s="1">
        <v>2054</v>
      </c>
      <c r="E123" s="1">
        <v>55673</v>
      </c>
      <c r="F123" s="2">
        <v>66821</v>
      </c>
    </row>
    <row r="124" spans="1:6" x14ac:dyDescent="0.3">
      <c r="A124">
        <v>2024</v>
      </c>
      <c r="B124" t="s">
        <v>57</v>
      </c>
      <c r="C124" t="s">
        <v>26</v>
      </c>
      <c r="D124" s="1">
        <v>2001</v>
      </c>
      <c r="E124" s="1">
        <v>67282</v>
      </c>
      <c r="F124" s="2">
        <v>77769</v>
      </c>
    </row>
    <row r="125" spans="1:6" x14ac:dyDescent="0.3">
      <c r="A125">
        <v>2024</v>
      </c>
      <c r="B125" t="s">
        <v>57</v>
      </c>
      <c r="C125" t="s">
        <v>27</v>
      </c>
      <c r="D125" s="1">
        <v>8964</v>
      </c>
      <c r="E125" s="1">
        <v>235850</v>
      </c>
      <c r="F125" s="2">
        <v>86277</v>
      </c>
    </row>
    <row r="126" spans="1:6" x14ac:dyDescent="0.3">
      <c r="A126">
        <v>2024</v>
      </c>
      <c r="B126" t="s">
        <v>57</v>
      </c>
      <c r="C126" t="s">
        <v>28</v>
      </c>
      <c r="D126" s="1">
        <v>1776</v>
      </c>
      <c r="E126" s="1">
        <v>27201</v>
      </c>
      <c r="F126" s="2">
        <v>58794</v>
      </c>
    </row>
    <row r="127" spans="1:6" x14ac:dyDescent="0.3">
      <c r="A127">
        <v>2024</v>
      </c>
      <c r="B127" t="s">
        <v>57</v>
      </c>
      <c r="C127" t="s">
        <v>29</v>
      </c>
      <c r="D127" s="1">
        <v>16292</v>
      </c>
      <c r="E127" s="1">
        <v>399337</v>
      </c>
      <c r="F127" s="2">
        <v>73103</v>
      </c>
    </row>
    <row r="128" spans="1:6" x14ac:dyDescent="0.3">
      <c r="A128">
        <v>2024</v>
      </c>
      <c r="B128" t="s">
        <v>57</v>
      </c>
      <c r="C128" t="s">
        <v>30</v>
      </c>
      <c r="D128" s="1">
        <v>10303</v>
      </c>
      <c r="E128" s="1">
        <v>452637</v>
      </c>
      <c r="F128" s="2">
        <v>63281</v>
      </c>
    </row>
    <row r="129" spans="1:6" x14ac:dyDescent="0.3">
      <c r="A129">
        <v>2024</v>
      </c>
      <c r="B129" t="s">
        <v>57</v>
      </c>
      <c r="C129" t="s">
        <v>31</v>
      </c>
      <c r="D129">
        <v>799</v>
      </c>
      <c r="E129" s="1">
        <v>25259</v>
      </c>
      <c r="F129" s="2">
        <v>57695</v>
      </c>
    </row>
    <row r="130" spans="1:6" x14ac:dyDescent="0.3">
      <c r="A130">
        <v>2024</v>
      </c>
      <c r="B130" t="s">
        <v>57</v>
      </c>
      <c r="C130" t="s">
        <v>32</v>
      </c>
      <c r="D130" s="1">
        <v>15453</v>
      </c>
      <c r="E130" s="1">
        <v>653028</v>
      </c>
      <c r="F130" s="2">
        <v>64995</v>
      </c>
    </row>
    <row r="131" spans="1:6" x14ac:dyDescent="0.3">
      <c r="A131">
        <v>2024</v>
      </c>
      <c r="B131" t="s">
        <v>57</v>
      </c>
      <c r="C131" t="s">
        <v>33</v>
      </c>
      <c r="D131" s="1">
        <v>4178</v>
      </c>
      <c r="E131" s="1">
        <v>131206</v>
      </c>
      <c r="F131" s="2">
        <v>60915</v>
      </c>
    </row>
    <row r="132" spans="1:6" x14ac:dyDescent="0.3">
      <c r="A132">
        <v>2024</v>
      </c>
      <c r="B132" t="s">
        <v>57</v>
      </c>
      <c r="C132" t="s">
        <v>34</v>
      </c>
      <c r="D132" s="1">
        <v>6354</v>
      </c>
      <c r="E132" s="1">
        <v>184947</v>
      </c>
      <c r="F132" s="2">
        <v>74927</v>
      </c>
    </row>
    <row r="133" spans="1:6" x14ac:dyDescent="0.3">
      <c r="A133">
        <v>2024</v>
      </c>
      <c r="B133" t="s">
        <v>57</v>
      </c>
      <c r="C133" t="s">
        <v>35</v>
      </c>
      <c r="D133" s="1">
        <v>14363</v>
      </c>
      <c r="E133" s="1">
        <v>537402</v>
      </c>
      <c r="F133" s="2">
        <v>66931</v>
      </c>
    </row>
    <row r="134" spans="1:6" x14ac:dyDescent="0.3">
      <c r="A134">
        <v>2024</v>
      </c>
      <c r="B134" t="s">
        <v>57</v>
      </c>
      <c r="C134" t="s">
        <v>36</v>
      </c>
      <c r="D134" s="1">
        <v>1516</v>
      </c>
      <c r="E134" s="1">
        <v>37411</v>
      </c>
      <c r="F134" s="2">
        <v>63645</v>
      </c>
    </row>
    <row r="135" spans="1:6" x14ac:dyDescent="0.3">
      <c r="A135">
        <v>2024</v>
      </c>
      <c r="B135" t="s">
        <v>57</v>
      </c>
      <c r="C135" t="s">
        <v>37</v>
      </c>
      <c r="D135" s="1">
        <v>6655</v>
      </c>
      <c r="E135" s="1">
        <v>244395</v>
      </c>
      <c r="F135" s="2">
        <v>61779</v>
      </c>
    </row>
    <row r="136" spans="1:6" x14ac:dyDescent="0.3">
      <c r="A136">
        <v>2024</v>
      </c>
      <c r="B136" t="s">
        <v>57</v>
      </c>
      <c r="C136" t="s">
        <v>38</v>
      </c>
      <c r="D136" s="1">
        <v>1072</v>
      </c>
      <c r="E136" s="1">
        <v>43135</v>
      </c>
      <c r="F136" s="2">
        <v>53285</v>
      </c>
    </row>
    <row r="137" spans="1:6" x14ac:dyDescent="0.3">
      <c r="A137">
        <v>2024</v>
      </c>
      <c r="B137" t="s">
        <v>57</v>
      </c>
      <c r="C137" t="s">
        <v>39</v>
      </c>
      <c r="D137" s="1">
        <v>7620</v>
      </c>
      <c r="E137" s="1">
        <v>334972</v>
      </c>
      <c r="F137" s="2">
        <v>63122</v>
      </c>
    </row>
    <row r="138" spans="1:6" x14ac:dyDescent="0.3">
      <c r="A138">
        <v>2024</v>
      </c>
      <c r="B138" t="s">
        <v>57</v>
      </c>
      <c r="C138" t="s">
        <v>40</v>
      </c>
      <c r="D138" s="1">
        <v>26257</v>
      </c>
      <c r="E138" s="1">
        <v>867807</v>
      </c>
      <c r="F138" s="2">
        <v>81206</v>
      </c>
    </row>
    <row r="139" spans="1:6" x14ac:dyDescent="0.3">
      <c r="A139">
        <v>2024</v>
      </c>
      <c r="B139" t="s">
        <v>57</v>
      </c>
      <c r="C139" t="s">
        <v>41</v>
      </c>
      <c r="D139" s="1">
        <v>4616</v>
      </c>
      <c r="E139" s="1">
        <v>135571</v>
      </c>
      <c r="F139" s="2">
        <v>61796</v>
      </c>
    </row>
    <row r="140" spans="1:6" x14ac:dyDescent="0.3">
      <c r="A140">
        <v>2024</v>
      </c>
      <c r="B140" t="s">
        <v>57</v>
      </c>
      <c r="C140" t="s">
        <v>42</v>
      </c>
      <c r="D140" s="1">
        <v>1107</v>
      </c>
      <c r="E140" s="1">
        <v>28176</v>
      </c>
      <c r="F140" s="2">
        <v>62352</v>
      </c>
    </row>
    <row r="141" spans="1:6" x14ac:dyDescent="0.3">
      <c r="A141">
        <v>2024</v>
      </c>
      <c r="B141" t="s">
        <v>57</v>
      </c>
      <c r="C141" t="s">
        <v>43</v>
      </c>
      <c r="D141" s="1">
        <v>7023</v>
      </c>
      <c r="E141" s="1">
        <v>232300</v>
      </c>
      <c r="F141" s="2">
        <v>63958</v>
      </c>
    </row>
    <row r="142" spans="1:6" x14ac:dyDescent="0.3">
      <c r="A142">
        <v>2024</v>
      </c>
      <c r="B142" t="s">
        <v>57</v>
      </c>
      <c r="C142" t="s">
        <v>44</v>
      </c>
      <c r="D142" s="1">
        <v>7882</v>
      </c>
      <c r="E142" s="1">
        <v>268553</v>
      </c>
      <c r="F142" s="2">
        <v>82000</v>
      </c>
    </row>
    <row r="143" spans="1:6" x14ac:dyDescent="0.3">
      <c r="A143">
        <v>2024</v>
      </c>
      <c r="B143" t="s">
        <v>57</v>
      </c>
      <c r="C143" t="s">
        <v>45</v>
      </c>
      <c r="D143" s="1">
        <v>1261</v>
      </c>
      <c r="E143" s="1">
        <v>44429</v>
      </c>
      <c r="F143" s="2">
        <v>62359</v>
      </c>
    </row>
    <row r="144" spans="1:6" x14ac:dyDescent="0.3">
      <c r="A144">
        <v>2024</v>
      </c>
      <c r="B144" t="s">
        <v>57</v>
      </c>
      <c r="C144" t="s">
        <v>46</v>
      </c>
      <c r="D144" s="1">
        <v>9214</v>
      </c>
      <c r="E144" s="1">
        <v>458262</v>
      </c>
      <c r="F144" s="2">
        <v>61039</v>
      </c>
    </row>
    <row r="145" spans="1:6" x14ac:dyDescent="0.3">
      <c r="A145">
        <v>2024</v>
      </c>
      <c r="B145" t="s">
        <v>57</v>
      </c>
      <c r="C145" t="s">
        <v>47</v>
      </c>
      <c r="D145">
        <v>620</v>
      </c>
      <c r="E145" s="1">
        <v>9580</v>
      </c>
      <c r="F145" s="2">
        <v>70308</v>
      </c>
    </row>
    <row r="146" spans="1:6" x14ac:dyDescent="0.3">
      <c r="A146">
        <v>2024</v>
      </c>
      <c r="B146" t="s">
        <v>58</v>
      </c>
      <c r="C146" t="s">
        <v>0</v>
      </c>
      <c r="D146" s="1">
        <v>32424</v>
      </c>
      <c r="E146" s="1">
        <v>372620</v>
      </c>
      <c r="F146" s="2">
        <v>45853</v>
      </c>
    </row>
    <row r="147" spans="1:6" x14ac:dyDescent="0.3">
      <c r="A147">
        <v>2024</v>
      </c>
      <c r="B147" t="s">
        <v>58</v>
      </c>
      <c r="C147" t="s">
        <v>1</v>
      </c>
      <c r="D147" s="1">
        <v>33859</v>
      </c>
      <c r="E147" s="1">
        <v>546143</v>
      </c>
      <c r="F147" s="2">
        <v>51498</v>
      </c>
    </row>
    <row r="148" spans="1:6" x14ac:dyDescent="0.3">
      <c r="A148">
        <v>2024</v>
      </c>
      <c r="B148" t="s">
        <v>58</v>
      </c>
      <c r="C148" t="s">
        <v>2</v>
      </c>
      <c r="D148" s="1">
        <v>21836</v>
      </c>
      <c r="E148" s="1">
        <v>244074</v>
      </c>
      <c r="F148" s="2">
        <v>45673</v>
      </c>
    </row>
    <row r="149" spans="1:6" x14ac:dyDescent="0.3">
      <c r="A149">
        <v>2024</v>
      </c>
      <c r="B149" t="s">
        <v>58</v>
      </c>
      <c r="C149" t="s">
        <v>3</v>
      </c>
      <c r="D149" s="1">
        <v>200632</v>
      </c>
      <c r="E149" s="1">
        <v>2888684</v>
      </c>
      <c r="F149" s="2">
        <v>58800</v>
      </c>
    </row>
    <row r="150" spans="1:6" x14ac:dyDescent="0.3">
      <c r="A150">
        <v>2024</v>
      </c>
      <c r="B150" t="s">
        <v>58</v>
      </c>
      <c r="C150" t="s">
        <v>4</v>
      </c>
      <c r="D150" s="1">
        <v>36421</v>
      </c>
      <c r="E150" s="1">
        <v>465887</v>
      </c>
      <c r="F150" s="2">
        <v>55719</v>
      </c>
    </row>
    <row r="151" spans="1:6" x14ac:dyDescent="0.3">
      <c r="A151">
        <v>2024</v>
      </c>
      <c r="B151" t="s">
        <v>58</v>
      </c>
      <c r="C151" t="s">
        <v>5</v>
      </c>
      <c r="D151" s="1">
        <v>24725</v>
      </c>
      <c r="E151" s="1">
        <v>276491</v>
      </c>
      <c r="F151" s="2">
        <v>55859</v>
      </c>
    </row>
    <row r="152" spans="1:6" x14ac:dyDescent="0.3">
      <c r="A152">
        <v>2024</v>
      </c>
      <c r="B152" t="s">
        <v>58</v>
      </c>
      <c r="C152" t="s">
        <v>6</v>
      </c>
      <c r="D152" s="1">
        <v>7050</v>
      </c>
      <c r="E152" s="1">
        <v>76267</v>
      </c>
      <c r="F152" s="2">
        <v>45667</v>
      </c>
    </row>
    <row r="153" spans="1:6" x14ac:dyDescent="0.3">
      <c r="A153">
        <v>2024</v>
      </c>
      <c r="B153" t="s">
        <v>58</v>
      </c>
      <c r="C153" t="s">
        <v>7</v>
      </c>
      <c r="D153" s="1">
        <v>142700</v>
      </c>
      <c r="E153" s="1">
        <v>1739110</v>
      </c>
      <c r="F153" s="2">
        <v>49391</v>
      </c>
    </row>
    <row r="154" spans="1:6" x14ac:dyDescent="0.3">
      <c r="A154">
        <v>2024</v>
      </c>
      <c r="B154" t="s">
        <v>58</v>
      </c>
      <c r="C154" t="s">
        <v>8</v>
      </c>
      <c r="D154" s="1">
        <v>64380</v>
      </c>
      <c r="E154" s="1">
        <v>913981</v>
      </c>
      <c r="F154" s="2">
        <v>52104</v>
      </c>
    </row>
    <row r="155" spans="1:6" x14ac:dyDescent="0.3">
      <c r="A155">
        <v>2024</v>
      </c>
      <c r="B155" t="s">
        <v>58</v>
      </c>
      <c r="C155" t="s">
        <v>9</v>
      </c>
      <c r="D155" s="1">
        <v>12742</v>
      </c>
      <c r="E155" s="1">
        <v>143264</v>
      </c>
      <c r="F155" s="2">
        <v>44610</v>
      </c>
    </row>
    <row r="156" spans="1:6" x14ac:dyDescent="0.3">
      <c r="A156">
        <v>2024</v>
      </c>
      <c r="B156" t="s">
        <v>58</v>
      </c>
      <c r="C156" t="s">
        <v>10</v>
      </c>
      <c r="D156" s="1">
        <v>78196</v>
      </c>
      <c r="E156" s="1">
        <v>1140749</v>
      </c>
      <c r="F156" s="2">
        <v>55780</v>
      </c>
    </row>
    <row r="157" spans="1:6" x14ac:dyDescent="0.3">
      <c r="A157">
        <v>2024</v>
      </c>
      <c r="B157" t="s">
        <v>58</v>
      </c>
      <c r="C157" t="s">
        <v>11</v>
      </c>
      <c r="D157" s="1">
        <v>40846</v>
      </c>
      <c r="E157" s="1">
        <v>583686</v>
      </c>
      <c r="F157" s="2">
        <v>45931</v>
      </c>
    </row>
    <row r="158" spans="1:6" x14ac:dyDescent="0.3">
      <c r="A158">
        <v>2024</v>
      </c>
      <c r="B158" t="s">
        <v>58</v>
      </c>
      <c r="C158" t="s">
        <v>12</v>
      </c>
      <c r="D158" s="1">
        <v>23479</v>
      </c>
      <c r="E158" s="1">
        <v>298376</v>
      </c>
      <c r="F158" s="2">
        <v>44146</v>
      </c>
    </row>
    <row r="159" spans="1:6" x14ac:dyDescent="0.3">
      <c r="A159">
        <v>2024</v>
      </c>
      <c r="B159" t="s">
        <v>58</v>
      </c>
      <c r="C159" t="s">
        <v>13</v>
      </c>
      <c r="D159" s="1">
        <v>19497</v>
      </c>
      <c r="E159" s="1">
        <v>255575</v>
      </c>
      <c r="F159" s="2">
        <v>46012</v>
      </c>
    </row>
    <row r="160" spans="1:6" x14ac:dyDescent="0.3">
      <c r="A160">
        <v>2024</v>
      </c>
      <c r="B160" t="s">
        <v>58</v>
      </c>
      <c r="C160" t="s">
        <v>14</v>
      </c>
      <c r="D160" s="1">
        <v>28266</v>
      </c>
      <c r="E160" s="1">
        <v>393361</v>
      </c>
      <c r="F160" s="2">
        <v>46839</v>
      </c>
    </row>
    <row r="161" spans="1:6" x14ac:dyDescent="0.3">
      <c r="A161">
        <v>2024</v>
      </c>
      <c r="B161" t="s">
        <v>58</v>
      </c>
      <c r="C161" t="s">
        <v>15</v>
      </c>
      <c r="D161" s="1">
        <v>31210</v>
      </c>
      <c r="E161" s="1">
        <v>358336</v>
      </c>
      <c r="F161" s="2">
        <v>46029</v>
      </c>
    </row>
    <row r="162" spans="1:6" x14ac:dyDescent="0.3">
      <c r="A162">
        <v>2024</v>
      </c>
      <c r="B162" t="s">
        <v>58</v>
      </c>
      <c r="C162" t="s">
        <v>16</v>
      </c>
      <c r="D162" s="1">
        <v>10546</v>
      </c>
      <c r="E162" s="1">
        <v>111483</v>
      </c>
      <c r="F162" s="2">
        <v>43084</v>
      </c>
    </row>
    <row r="163" spans="1:6" x14ac:dyDescent="0.3">
      <c r="A163">
        <v>2024</v>
      </c>
      <c r="B163" t="s">
        <v>58</v>
      </c>
      <c r="C163" t="s">
        <v>17</v>
      </c>
      <c r="D163" s="1">
        <v>31685</v>
      </c>
      <c r="E163" s="1">
        <v>441680</v>
      </c>
      <c r="F163" s="2">
        <v>50800</v>
      </c>
    </row>
    <row r="164" spans="1:6" x14ac:dyDescent="0.3">
      <c r="A164">
        <v>2024</v>
      </c>
      <c r="B164" t="s">
        <v>58</v>
      </c>
      <c r="C164" t="s">
        <v>18</v>
      </c>
      <c r="D164" s="1">
        <v>40751</v>
      </c>
      <c r="E164" s="1">
        <v>526726</v>
      </c>
      <c r="F164" s="2">
        <v>61082</v>
      </c>
    </row>
    <row r="165" spans="1:6" x14ac:dyDescent="0.3">
      <c r="A165">
        <v>2024</v>
      </c>
      <c r="B165" t="s">
        <v>58</v>
      </c>
      <c r="C165" t="s">
        <v>19</v>
      </c>
      <c r="D165" s="1">
        <v>55149</v>
      </c>
      <c r="E165" s="1">
        <v>745824</v>
      </c>
      <c r="F165" s="2">
        <v>51869</v>
      </c>
    </row>
    <row r="166" spans="1:6" x14ac:dyDescent="0.3">
      <c r="A166">
        <v>2024</v>
      </c>
      <c r="B166" t="s">
        <v>58</v>
      </c>
      <c r="C166" t="s">
        <v>20</v>
      </c>
      <c r="D166" s="1">
        <v>37255</v>
      </c>
      <c r="E166" s="1">
        <v>499190</v>
      </c>
      <c r="F166" s="2">
        <v>53843</v>
      </c>
    </row>
    <row r="167" spans="1:6" x14ac:dyDescent="0.3">
      <c r="A167">
        <v>2024</v>
      </c>
      <c r="B167" t="s">
        <v>58</v>
      </c>
      <c r="C167" t="s">
        <v>21</v>
      </c>
      <c r="D167" s="1">
        <v>19589</v>
      </c>
      <c r="E167" s="1">
        <v>226629</v>
      </c>
      <c r="F167" s="2">
        <v>40176</v>
      </c>
    </row>
    <row r="168" spans="1:6" x14ac:dyDescent="0.3">
      <c r="A168">
        <v>2024</v>
      </c>
      <c r="B168" t="s">
        <v>58</v>
      </c>
      <c r="C168" t="s">
        <v>22</v>
      </c>
      <c r="D168" s="1">
        <v>39646</v>
      </c>
      <c r="E168" s="1">
        <v>519916</v>
      </c>
      <c r="F168" s="2">
        <v>46520</v>
      </c>
    </row>
    <row r="169" spans="1:6" x14ac:dyDescent="0.3">
      <c r="A169">
        <v>2024</v>
      </c>
      <c r="B169" t="s">
        <v>58</v>
      </c>
      <c r="C169" t="s">
        <v>23</v>
      </c>
      <c r="D169" s="1">
        <v>9323</v>
      </c>
      <c r="E169" s="1">
        <v>89315</v>
      </c>
      <c r="F169" s="2">
        <v>43996</v>
      </c>
    </row>
    <row r="170" spans="1:6" x14ac:dyDescent="0.3">
      <c r="A170">
        <v>2024</v>
      </c>
      <c r="B170" t="s">
        <v>58</v>
      </c>
      <c r="C170" t="s">
        <v>24</v>
      </c>
      <c r="D170" s="1">
        <v>14748</v>
      </c>
      <c r="E170" s="1">
        <v>182745</v>
      </c>
      <c r="F170" s="2">
        <v>44095</v>
      </c>
    </row>
    <row r="171" spans="1:6" x14ac:dyDescent="0.3">
      <c r="A171">
        <v>2024</v>
      </c>
      <c r="B171" t="s">
        <v>58</v>
      </c>
      <c r="C171" t="s">
        <v>25</v>
      </c>
      <c r="D171" s="1">
        <v>15481</v>
      </c>
      <c r="E171" s="1">
        <v>252623</v>
      </c>
      <c r="F171" s="2">
        <v>48334</v>
      </c>
    </row>
    <row r="172" spans="1:6" x14ac:dyDescent="0.3">
      <c r="A172">
        <v>2024</v>
      </c>
      <c r="B172" t="s">
        <v>58</v>
      </c>
      <c r="C172" t="s">
        <v>26</v>
      </c>
      <c r="D172" s="1">
        <v>12460</v>
      </c>
      <c r="E172" s="1">
        <v>133196</v>
      </c>
      <c r="F172" s="2">
        <v>54425</v>
      </c>
    </row>
    <row r="173" spans="1:6" x14ac:dyDescent="0.3">
      <c r="A173">
        <v>2024</v>
      </c>
      <c r="B173" t="s">
        <v>58</v>
      </c>
      <c r="C173" t="s">
        <v>27</v>
      </c>
      <c r="D173" s="1">
        <v>54606</v>
      </c>
      <c r="E173" s="1">
        <v>820259</v>
      </c>
      <c r="F173" s="2">
        <v>58675</v>
      </c>
    </row>
    <row r="174" spans="1:6" x14ac:dyDescent="0.3">
      <c r="A174">
        <v>2024</v>
      </c>
      <c r="B174" t="s">
        <v>58</v>
      </c>
      <c r="C174" t="s">
        <v>28</v>
      </c>
      <c r="D174" s="1">
        <v>10949</v>
      </c>
      <c r="E174" s="1">
        <v>130261</v>
      </c>
      <c r="F174" s="2">
        <v>41086</v>
      </c>
    </row>
    <row r="175" spans="1:6" x14ac:dyDescent="0.3">
      <c r="A175">
        <v>2024</v>
      </c>
      <c r="B175" t="s">
        <v>58</v>
      </c>
      <c r="C175" t="s">
        <v>29</v>
      </c>
      <c r="D175" s="1">
        <v>118946</v>
      </c>
      <c r="E175" s="1">
        <v>1366746</v>
      </c>
      <c r="F175" s="2">
        <v>57939</v>
      </c>
    </row>
    <row r="176" spans="1:6" x14ac:dyDescent="0.3">
      <c r="A176">
        <v>2024</v>
      </c>
      <c r="B176" t="s">
        <v>58</v>
      </c>
      <c r="C176" t="s">
        <v>30</v>
      </c>
      <c r="D176" s="1">
        <v>63455</v>
      </c>
      <c r="E176" s="1">
        <v>844765</v>
      </c>
      <c r="F176" s="2">
        <v>47171</v>
      </c>
    </row>
    <row r="177" spans="1:6" x14ac:dyDescent="0.3">
      <c r="A177">
        <v>2024</v>
      </c>
      <c r="B177" t="s">
        <v>58</v>
      </c>
      <c r="C177" t="s">
        <v>31</v>
      </c>
      <c r="D177" s="1">
        <v>7745</v>
      </c>
      <c r="E177" s="1">
        <v>86570</v>
      </c>
      <c r="F177" s="2">
        <v>52657</v>
      </c>
    </row>
    <row r="178" spans="1:6" x14ac:dyDescent="0.3">
      <c r="A178">
        <v>2024</v>
      </c>
      <c r="B178" t="s">
        <v>58</v>
      </c>
      <c r="C178" t="s">
        <v>32</v>
      </c>
      <c r="D178" s="1">
        <v>68987</v>
      </c>
      <c r="E178" s="1">
        <v>998325</v>
      </c>
      <c r="F178" s="2">
        <v>48088</v>
      </c>
    </row>
    <row r="179" spans="1:6" x14ac:dyDescent="0.3">
      <c r="A179">
        <v>2024</v>
      </c>
      <c r="B179" t="s">
        <v>58</v>
      </c>
      <c r="C179" t="s">
        <v>33</v>
      </c>
      <c r="D179" s="1">
        <v>23912</v>
      </c>
      <c r="E179" s="1">
        <v>301828</v>
      </c>
      <c r="F179" s="2">
        <v>43388</v>
      </c>
    </row>
    <row r="180" spans="1:6" x14ac:dyDescent="0.3">
      <c r="A180">
        <v>2024</v>
      </c>
      <c r="B180" t="s">
        <v>58</v>
      </c>
      <c r="C180" t="s">
        <v>34</v>
      </c>
      <c r="D180" s="1">
        <v>26241</v>
      </c>
      <c r="E180" s="1">
        <v>346783</v>
      </c>
      <c r="F180" s="2">
        <v>49251</v>
      </c>
    </row>
    <row r="181" spans="1:6" x14ac:dyDescent="0.3">
      <c r="A181">
        <v>2024</v>
      </c>
      <c r="B181" t="s">
        <v>58</v>
      </c>
      <c r="C181" t="s">
        <v>35</v>
      </c>
      <c r="D181" s="1">
        <v>73985</v>
      </c>
      <c r="E181" s="1">
        <v>1054388</v>
      </c>
      <c r="F181" s="2">
        <v>49535</v>
      </c>
    </row>
    <row r="182" spans="1:6" x14ac:dyDescent="0.3">
      <c r="A182">
        <v>2024</v>
      </c>
      <c r="B182" t="s">
        <v>58</v>
      </c>
      <c r="C182" t="s">
        <v>36</v>
      </c>
      <c r="D182" s="1">
        <v>7816</v>
      </c>
      <c r="E182" s="1">
        <v>70764</v>
      </c>
      <c r="F182" s="2">
        <v>49493</v>
      </c>
    </row>
    <row r="183" spans="1:6" x14ac:dyDescent="0.3">
      <c r="A183">
        <v>2024</v>
      </c>
      <c r="B183" t="s">
        <v>58</v>
      </c>
      <c r="C183" t="s">
        <v>37</v>
      </c>
      <c r="D183" s="1">
        <v>31674</v>
      </c>
      <c r="E183" s="1">
        <v>400537</v>
      </c>
      <c r="F183" s="2">
        <v>43717</v>
      </c>
    </row>
    <row r="184" spans="1:6" x14ac:dyDescent="0.3">
      <c r="A184">
        <v>2024</v>
      </c>
      <c r="B184" t="s">
        <v>58</v>
      </c>
      <c r="C184" t="s">
        <v>38</v>
      </c>
      <c r="D184" s="1">
        <v>8068</v>
      </c>
      <c r="E184" s="1">
        <v>83179</v>
      </c>
      <c r="F184" s="2">
        <v>44162</v>
      </c>
    </row>
    <row r="185" spans="1:6" x14ac:dyDescent="0.3">
      <c r="A185">
        <v>2024</v>
      </c>
      <c r="B185" t="s">
        <v>58</v>
      </c>
      <c r="C185" t="s">
        <v>39</v>
      </c>
      <c r="D185" s="1">
        <v>40806</v>
      </c>
      <c r="E185" s="1">
        <v>627005</v>
      </c>
      <c r="F185" s="2">
        <v>50111</v>
      </c>
    </row>
    <row r="186" spans="1:6" x14ac:dyDescent="0.3">
      <c r="A186">
        <v>2024</v>
      </c>
      <c r="B186" t="s">
        <v>58</v>
      </c>
      <c r="C186" t="s">
        <v>40</v>
      </c>
      <c r="D186" s="1">
        <v>152438</v>
      </c>
      <c r="E186" s="1">
        <v>2453267</v>
      </c>
      <c r="F186" s="2">
        <v>56485</v>
      </c>
    </row>
    <row r="187" spans="1:6" x14ac:dyDescent="0.3">
      <c r="A187">
        <v>2024</v>
      </c>
      <c r="B187" t="s">
        <v>58</v>
      </c>
      <c r="C187" t="s">
        <v>41</v>
      </c>
      <c r="D187" s="1">
        <v>20535</v>
      </c>
      <c r="E187" s="1">
        <v>288623</v>
      </c>
      <c r="F187" s="2">
        <v>49353</v>
      </c>
    </row>
    <row r="188" spans="1:6" x14ac:dyDescent="0.3">
      <c r="A188">
        <v>2024</v>
      </c>
      <c r="B188" t="s">
        <v>58</v>
      </c>
      <c r="C188" t="s">
        <v>42</v>
      </c>
      <c r="D188" s="1">
        <v>5003</v>
      </c>
      <c r="E188" s="1">
        <v>49851</v>
      </c>
      <c r="F188" s="2">
        <v>45701</v>
      </c>
    </row>
    <row r="189" spans="1:6" x14ac:dyDescent="0.3">
      <c r="A189">
        <v>2024</v>
      </c>
      <c r="B189" t="s">
        <v>58</v>
      </c>
      <c r="C189" t="s">
        <v>43</v>
      </c>
      <c r="D189" s="1">
        <v>42564</v>
      </c>
      <c r="E189" s="1">
        <v>627729</v>
      </c>
      <c r="F189" s="2">
        <v>48371</v>
      </c>
    </row>
    <row r="190" spans="1:6" x14ac:dyDescent="0.3">
      <c r="A190">
        <v>2024</v>
      </c>
      <c r="B190" t="s">
        <v>58</v>
      </c>
      <c r="C190" t="s">
        <v>44</v>
      </c>
      <c r="D190" s="1">
        <v>38688</v>
      </c>
      <c r="E190" s="1">
        <v>615415</v>
      </c>
      <c r="F190" s="2">
        <v>74160</v>
      </c>
    </row>
    <row r="191" spans="1:6" x14ac:dyDescent="0.3">
      <c r="A191">
        <v>2024</v>
      </c>
      <c r="B191" t="s">
        <v>58</v>
      </c>
      <c r="C191" t="s">
        <v>45</v>
      </c>
      <c r="D191" s="1">
        <v>10611</v>
      </c>
      <c r="E191" s="1">
        <v>118677</v>
      </c>
      <c r="F191" s="2">
        <v>42085</v>
      </c>
    </row>
    <row r="192" spans="1:6" x14ac:dyDescent="0.3">
      <c r="A192">
        <v>2024</v>
      </c>
      <c r="B192" t="s">
        <v>58</v>
      </c>
      <c r="C192" t="s">
        <v>46</v>
      </c>
      <c r="D192" s="1">
        <v>35812</v>
      </c>
      <c r="E192" s="1">
        <v>517930</v>
      </c>
      <c r="F192" s="2">
        <v>45165</v>
      </c>
    </row>
    <row r="193" spans="1:6" x14ac:dyDescent="0.3">
      <c r="A193">
        <v>2024</v>
      </c>
      <c r="B193" t="s">
        <v>58</v>
      </c>
      <c r="C193" t="s">
        <v>47</v>
      </c>
      <c r="D193" s="1">
        <v>4840</v>
      </c>
      <c r="E193" s="1">
        <v>48509</v>
      </c>
      <c r="F193" s="2">
        <v>44879</v>
      </c>
    </row>
    <row r="194" spans="1:6" x14ac:dyDescent="0.3">
      <c r="A194">
        <v>2024</v>
      </c>
      <c r="B194" t="s">
        <v>59</v>
      </c>
      <c r="C194" t="s">
        <v>0</v>
      </c>
      <c r="D194" s="1">
        <v>2566</v>
      </c>
      <c r="E194" s="1">
        <v>19310</v>
      </c>
      <c r="F194" s="2">
        <v>69393</v>
      </c>
    </row>
    <row r="195" spans="1:6" x14ac:dyDescent="0.3">
      <c r="A195">
        <v>2024</v>
      </c>
      <c r="B195" t="s">
        <v>59</v>
      </c>
      <c r="C195" t="s">
        <v>1</v>
      </c>
      <c r="D195" s="1">
        <v>4017</v>
      </c>
      <c r="E195" s="1">
        <v>45513</v>
      </c>
      <c r="F195" s="2">
        <v>90871</v>
      </c>
    </row>
    <row r="196" spans="1:6" x14ac:dyDescent="0.3">
      <c r="A196">
        <v>2024</v>
      </c>
      <c r="B196" t="s">
        <v>59</v>
      </c>
      <c r="C196" t="s">
        <v>2</v>
      </c>
      <c r="D196" s="1">
        <v>1536</v>
      </c>
      <c r="E196" s="1">
        <v>11509</v>
      </c>
      <c r="F196" s="2">
        <v>69820</v>
      </c>
    </row>
    <row r="197" spans="1:6" x14ac:dyDescent="0.3">
      <c r="A197">
        <v>2024</v>
      </c>
      <c r="B197" t="s">
        <v>59</v>
      </c>
      <c r="C197" t="s">
        <v>3</v>
      </c>
      <c r="D197" s="1">
        <v>29491</v>
      </c>
      <c r="E197" s="1">
        <v>527549</v>
      </c>
      <c r="F197" s="2">
        <v>217892</v>
      </c>
    </row>
    <row r="198" spans="1:6" x14ac:dyDescent="0.3">
      <c r="A198">
        <v>2024</v>
      </c>
      <c r="B198" t="s">
        <v>59</v>
      </c>
      <c r="C198" t="s">
        <v>4</v>
      </c>
      <c r="D198" s="1">
        <v>4548</v>
      </c>
      <c r="E198" s="1">
        <v>74867</v>
      </c>
      <c r="F198" s="2">
        <v>123495</v>
      </c>
    </row>
    <row r="199" spans="1:6" x14ac:dyDescent="0.3">
      <c r="A199">
        <v>2024</v>
      </c>
      <c r="B199" t="s">
        <v>59</v>
      </c>
      <c r="C199" t="s">
        <v>5</v>
      </c>
      <c r="D199" s="1">
        <v>2880</v>
      </c>
      <c r="E199" s="1">
        <v>29237</v>
      </c>
      <c r="F199" s="2">
        <v>138917</v>
      </c>
    </row>
    <row r="200" spans="1:6" x14ac:dyDescent="0.3">
      <c r="A200">
        <v>2024</v>
      </c>
      <c r="B200" t="s">
        <v>59</v>
      </c>
      <c r="C200" t="s">
        <v>6</v>
      </c>
      <c r="D200">
        <v>549</v>
      </c>
      <c r="E200" s="1">
        <v>3622</v>
      </c>
      <c r="F200" s="2">
        <v>78966</v>
      </c>
    </row>
    <row r="201" spans="1:6" x14ac:dyDescent="0.3">
      <c r="A201">
        <v>2024</v>
      </c>
      <c r="B201" t="s">
        <v>59</v>
      </c>
      <c r="C201" t="s">
        <v>7</v>
      </c>
      <c r="D201" s="1">
        <v>12659</v>
      </c>
      <c r="E201" s="1">
        <v>130298</v>
      </c>
      <c r="F201" s="2">
        <v>93350</v>
      </c>
    </row>
    <row r="202" spans="1:6" x14ac:dyDescent="0.3">
      <c r="A202">
        <v>2024</v>
      </c>
      <c r="B202" t="s">
        <v>59</v>
      </c>
      <c r="C202" t="s">
        <v>8</v>
      </c>
      <c r="D202" s="1">
        <v>6010</v>
      </c>
      <c r="E202" s="1">
        <v>109190</v>
      </c>
      <c r="F202" s="2">
        <v>108735</v>
      </c>
    </row>
    <row r="203" spans="1:6" x14ac:dyDescent="0.3">
      <c r="A203">
        <v>2024</v>
      </c>
      <c r="B203" t="s">
        <v>59</v>
      </c>
      <c r="C203" t="s">
        <v>9</v>
      </c>
      <c r="D203" s="1">
        <v>1385</v>
      </c>
      <c r="E203" s="1">
        <v>7346</v>
      </c>
      <c r="F203" s="2">
        <v>64408</v>
      </c>
    </row>
    <row r="204" spans="1:6" x14ac:dyDescent="0.3">
      <c r="A204">
        <v>2024</v>
      </c>
      <c r="B204" t="s">
        <v>59</v>
      </c>
      <c r="C204" t="s">
        <v>10</v>
      </c>
      <c r="D204" s="1">
        <v>7162</v>
      </c>
      <c r="E204" s="1">
        <v>87520</v>
      </c>
      <c r="F204" s="2">
        <v>110059</v>
      </c>
    </row>
    <row r="205" spans="1:6" x14ac:dyDescent="0.3">
      <c r="A205">
        <v>2024</v>
      </c>
      <c r="B205" t="s">
        <v>59</v>
      </c>
      <c r="C205" t="s">
        <v>11</v>
      </c>
      <c r="D205" s="1">
        <v>2521</v>
      </c>
      <c r="E205" s="1">
        <v>26075</v>
      </c>
      <c r="F205" s="2">
        <v>67191</v>
      </c>
    </row>
    <row r="206" spans="1:6" x14ac:dyDescent="0.3">
      <c r="A206">
        <v>2024</v>
      </c>
      <c r="B206" t="s">
        <v>59</v>
      </c>
      <c r="C206" t="s">
        <v>12</v>
      </c>
      <c r="D206" s="1">
        <v>1811</v>
      </c>
      <c r="E206" s="1">
        <v>19135</v>
      </c>
      <c r="F206" s="2">
        <v>66858</v>
      </c>
    </row>
    <row r="207" spans="1:6" x14ac:dyDescent="0.3">
      <c r="A207">
        <v>2024</v>
      </c>
      <c r="B207" t="s">
        <v>59</v>
      </c>
      <c r="C207" t="s">
        <v>13</v>
      </c>
      <c r="D207" s="1">
        <v>1561</v>
      </c>
      <c r="E207" s="1">
        <v>16734</v>
      </c>
      <c r="F207" s="2">
        <v>73749</v>
      </c>
    </row>
    <row r="208" spans="1:6" x14ac:dyDescent="0.3">
      <c r="A208">
        <v>2024</v>
      </c>
      <c r="B208" t="s">
        <v>59</v>
      </c>
      <c r="C208" t="s">
        <v>14</v>
      </c>
      <c r="D208" s="1">
        <v>2111</v>
      </c>
      <c r="E208" s="1">
        <v>20268</v>
      </c>
      <c r="F208" s="2">
        <v>63462</v>
      </c>
    </row>
    <row r="209" spans="1:6" x14ac:dyDescent="0.3">
      <c r="A209">
        <v>2024</v>
      </c>
      <c r="B209" t="s">
        <v>59</v>
      </c>
      <c r="C209" t="s">
        <v>15</v>
      </c>
      <c r="D209" s="1">
        <v>1935</v>
      </c>
      <c r="E209" s="1">
        <v>18712</v>
      </c>
      <c r="F209" s="2">
        <v>65700</v>
      </c>
    </row>
    <row r="210" spans="1:6" x14ac:dyDescent="0.3">
      <c r="A210">
        <v>2024</v>
      </c>
      <c r="B210" t="s">
        <v>59</v>
      </c>
      <c r="C210" t="s">
        <v>16</v>
      </c>
      <c r="D210">
        <v>916</v>
      </c>
      <c r="E210" s="1">
        <v>6415</v>
      </c>
      <c r="F210" s="2">
        <v>64265</v>
      </c>
    </row>
    <row r="211" spans="1:6" x14ac:dyDescent="0.3">
      <c r="A211">
        <v>2024</v>
      </c>
      <c r="B211" t="s">
        <v>59</v>
      </c>
      <c r="C211" t="s">
        <v>17</v>
      </c>
      <c r="D211" s="1">
        <v>2855</v>
      </c>
      <c r="E211" s="1">
        <v>33029</v>
      </c>
      <c r="F211" s="2">
        <v>110569</v>
      </c>
    </row>
    <row r="212" spans="1:6" x14ac:dyDescent="0.3">
      <c r="A212">
        <v>2024</v>
      </c>
      <c r="B212" t="s">
        <v>59</v>
      </c>
      <c r="C212" t="s">
        <v>18</v>
      </c>
      <c r="D212" s="1">
        <v>6073</v>
      </c>
      <c r="E212" s="1">
        <v>89231</v>
      </c>
      <c r="F212" s="2">
        <v>146746</v>
      </c>
    </row>
    <row r="213" spans="1:6" x14ac:dyDescent="0.3">
      <c r="A213">
        <v>2024</v>
      </c>
      <c r="B213" t="s">
        <v>59</v>
      </c>
      <c r="C213" t="s">
        <v>19</v>
      </c>
      <c r="D213" s="1">
        <v>7671</v>
      </c>
      <c r="E213" s="1">
        <v>50511</v>
      </c>
      <c r="F213" s="2">
        <v>88745</v>
      </c>
    </row>
    <row r="214" spans="1:6" x14ac:dyDescent="0.3">
      <c r="A214">
        <v>2024</v>
      </c>
      <c r="B214" t="s">
        <v>59</v>
      </c>
      <c r="C214" t="s">
        <v>20</v>
      </c>
      <c r="D214" s="1">
        <v>4304</v>
      </c>
      <c r="E214" s="1">
        <v>43145</v>
      </c>
      <c r="F214" s="2">
        <v>92292</v>
      </c>
    </row>
    <row r="215" spans="1:6" x14ac:dyDescent="0.3">
      <c r="A215">
        <v>2024</v>
      </c>
      <c r="B215" t="s">
        <v>59</v>
      </c>
      <c r="C215" t="s">
        <v>21</v>
      </c>
      <c r="D215">
        <v>964</v>
      </c>
      <c r="E215" s="1">
        <v>9629</v>
      </c>
      <c r="F215" s="2">
        <v>54301</v>
      </c>
    </row>
    <row r="216" spans="1:6" x14ac:dyDescent="0.3">
      <c r="A216">
        <v>2024</v>
      </c>
      <c r="B216" t="s">
        <v>59</v>
      </c>
      <c r="C216" t="s">
        <v>22</v>
      </c>
      <c r="D216" s="1">
        <v>3562</v>
      </c>
      <c r="E216" s="1">
        <v>43675</v>
      </c>
      <c r="F216" s="2">
        <v>89327</v>
      </c>
    </row>
    <row r="217" spans="1:6" x14ac:dyDescent="0.3">
      <c r="A217">
        <v>2024</v>
      </c>
      <c r="B217" t="s">
        <v>59</v>
      </c>
      <c r="C217" t="s">
        <v>23</v>
      </c>
      <c r="D217">
        <v>856</v>
      </c>
      <c r="E217" s="1">
        <v>5797</v>
      </c>
      <c r="F217" s="2">
        <v>65673</v>
      </c>
    </row>
    <row r="218" spans="1:6" x14ac:dyDescent="0.3">
      <c r="A218">
        <v>2024</v>
      </c>
      <c r="B218" t="s">
        <v>59</v>
      </c>
      <c r="C218" t="s">
        <v>24</v>
      </c>
      <c r="D218" s="1">
        <v>1071</v>
      </c>
      <c r="E218" s="1">
        <v>16165</v>
      </c>
      <c r="F218" s="2">
        <v>76361</v>
      </c>
    </row>
    <row r="219" spans="1:6" x14ac:dyDescent="0.3">
      <c r="A219">
        <v>2024</v>
      </c>
      <c r="B219" t="s">
        <v>59</v>
      </c>
      <c r="C219" t="s">
        <v>25</v>
      </c>
      <c r="D219" s="1">
        <v>1609</v>
      </c>
      <c r="E219" s="1">
        <v>13306</v>
      </c>
      <c r="F219" s="2">
        <v>88353</v>
      </c>
    </row>
    <row r="220" spans="1:6" x14ac:dyDescent="0.3">
      <c r="A220">
        <v>2024</v>
      </c>
      <c r="B220" t="s">
        <v>59</v>
      </c>
      <c r="C220" t="s">
        <v>26</v>
      </c>
      <c r="D220" s="1">
        <v>1168</v>
      </c>
      <c r="E220" s="1">
        <v>11735</v>
      </c>
      <c r="F220" s="2">
        <v>107194</v>
      </c>
    </row>
    <row r="221" spans="1:6" x14ac:dyDescent="0.3">
      <c r="A221">
        <v>2024</v>
      </c>
      <c r="B221" t="s">
        <v>59</v>
      </c>
      <c r="C221" t="s">
        <v>27</v>
      </c>
      <c r="D221" s="1">
        <v>3965</v>
      </c>
      <c r="E221" s="1">
        <v>67885</v>
      </c>
      <c r="F221" s="2">
        <v>130541</v>
      </c>
    </row>
    <row r="222" spans="1:6" x14ac:dyDescent="0.3">
      <c r="A222">
        <v>2024</v>
      </c>
      <c r="B222" t="s">
        <v>59</v>
      </c>
      <c r="C222" t="s">
        <v>28</v>
      </c>
      <c r="D222" s="1">
        <v>1108</v>
      </c>
      <c r="E222" s="1">
        <v>9076</v>
      </c>
      <c r="F222" s="2">
        <v>62393</v>
      </c>
    </row>
    <row r="223" spans="1:6" x14ac:dyDescent="0.3">
      <c r="A223">
        <v>2024</v>
      </c>
      <c r="B223" t="s">
        <v>59</v>
      </c>
      <c r="C223" t="s">
        <v>29</v>
      </c>
      <c r="D223" s="1">
        <v>14380</v>
      </c>
      <c r="E223" s="1">
        <v>267749</v>
      </c>
      <c r="F223" s="2">
        <v>154357</v>
      </c>
    </row>
    <row r="224" spans="1:6" x14ac:dyDescent="0.3">
      <c r="A224">
        <v>2024</v>
      </c>
      <c r="B224" t="s">
        <v>59</v>
      </c>
      <c r="C224" t="s">
        <v>30</v>
      </c>
      <c r="D224" s="1">
        <v>6302</v>
      </c>
      <c r="E224" s="1">
        <v>73440</v>
      </c>
      <c r="F224" s="2">
        <v>96207</v>
      </c>
    </row>
    <row r="225" spans="1:6" x14ac:dyDescent="0.3">
      <c r="A225">
        <v>2024</v>
      </c>
      <c r="B225" t="s">
        <v>59</v>
      </c>
      <c r="C225" t="s">
        <v>31</v>
      </c>
      <c r="D225">
        <v>417</v>
      </c>
      <c r="E225" s="1">
        <v>5780</v>
      </c>
      <c r="F225" s="2">
        <v>79624</v>
      </c>
    </row>
    <row r="226" spans="1:6" x14ac:dyDescent="0.3">
      <c r="A226">
        <v>2024</v>
      </c>
      <c r="B226" t="s">
        <v>59</v>
      </c>
      <c r="C226" t="s">
        <v>32</v>
      </c>
      <c r="D226" s="1">
        <v>5303</v>
      </c>
      <c r="E226" s="1">
        <v>63865</v>
      </c>
      <c r="F226" s="2">
        <v>80052</v>
      </c>
    </row>
    <row r="227" spans="1:6" x14ac:dyDescent="0.3">
      <c r="A227">
        <v>2024</v>
      </c>
      <c r="B227" t="s">
        <v>59</v>
      </c>
      <c r="C227" t="s">
        <v>33</v>
      </c>
      <c r="D227" s="1">
        <v>1572</v>
      </c>
      <c r="E227" s="1">
        <v>18256</v>
      </c>
      <c r="F227" s="2">
        <v>63710</v>
      </c>
    </row>
    <row r="228" spans="1:6" x14ac:dyDescent="0.3">
      <c r="A228">
        <v>2024</v>
      </c>
      <c r="B228" t="s">
        <v>59</v>
      </c>
      <c r="C228" t="s">
        <v>34</v>
      </c>
      <c r="D228" s="1">
        <v>4605</v>
      </c>
      <c r="E228" s="1">
        <v>33218</v>
      </c>
      <c r="F228" s="2">
        <v>101737</v>
      </c>
    </row>
    <row r="229" spans="1:6" x14ac:dyDescent="0.3">
      <c r="A229">
        <v>2024</v>
      </c>
      <c r="B229" t="s">
        <v>59</v>
      </c>
      <c r="C229" t="s">
        <v>35</v>
      </c>
      <c r="D229" s="1">
        <v>5891</v>
      </c>
      <c r="E229" s="1">
        <v>82872</v>
      </c>
      <c r="F229" s="2">
        <v>107388</v>
      </c>
    </row>
    <row r="230" spans="1:6" x14ac:dyDescent="0.3">
      <c r="A230">
        <v>2024</v>
      </c>
      <c r="B230" t="s">
        <v>59</v>
      </c>
      <c r="C230" t="s">
        <v>36</v>
      </c>
      <c r="D230">
        <v>762</v>
      </c>
      <c r="E230" s="1">
        <v>5243</v>
      </c>
      <c r="F230" s="2">
        <v>87286</v>
      </c>
    </row>
    <row r="231" spans="1:6" x14ac:dyDescent="0.3">
      <c r="A231">
        <v>2024</v>
      </c>
      <c r="B231" t="s">
        <v>59</v>
      </c>
      <c r="C231" t="s">
        <v>37</v>
      </c>
      <c r="D231" s="1">
        <v>3216</v>
      </c>
      <c r="E231" s="1">
        <v>24744</v>
      </c>
      <c r="F231" s="2">
        <v>73562</v>
      </c>
    </row>
    <row r="232" spans="1:6" x14ac:dyDescent="0.3">
      <c r="A232">
        <v>2024</v>
      </c>
      <c r="B232" t="s">
        <v>59</v>
      </c>
      <c r="C232" t="s">
        <v>38</v>
      </c>
      <c r="D232">
        <v>606</v>
      </c>
      <c r="E232" s="1">
        <v>5074</v>
      </c>
      <c r="F232" s="2">
        <v>58069</v>
      </c>
    </row>
    <row r="233" spans="1:6" x14ac:dyDescent="0.3">
      <c r="A233">
        <v>2024</v>
      </c>
      <c r="B233" t="s">
        <v>59</v>
      </c>
      <c r="C233" t="s">
        <v>39</v>
      </c>
      <c r="D233" s="1">
        <v>4525</v>
      </c>
      <c r="E233" s="1">
        <v>42929</v>
      </c>
      <c r="F233" s="2">
        <v>81293</v>
      </c>
    </row>
    <row r="234" spans="1:6" x14ac:dyDescent="0.3">
      <c r="A234">
        <v>2024</v>
      </c>
      <c r="B234" t="s">
        <v>59</v>
      </c>
      <c r="C234" t="s">
        <v>40</v>
      </c>
      <c r="D234" s="1">
        <v>11822</v>
      </c>
      <c r="E234" s="1">
        <v>198521</v>
      </c>
      <c r="F234" s="2">
        <v>102835</v>
      </c>
    </row>
    <row r="235" spans="1:6" x14ac:dyDescent="0.3">
      <c r="A235">
        <v>2024</v>
      </c>
      <c r="B235" t="s">
        <v>59</v>
      </c>
      <c r="C235" t="s">
        <v>41</v>
      </c>
      <c r="D235" s="1">
        <v>3177</v>
      </c>
      <c r="E235" s="1">
        <v>37222</v>
      </c>
      <c r="F235" s="2">
        <v>96974</v>
      </c>
    </row>
    <row r="236" spans="1:6" x14ac:dyDescent="0.3">
      <c r="A236">
        <v>2024</v>
      </c>
      <c r="B236" t="s">
        <v>59</v>
      </c>
      <c r="C236" t="s">
        <v>42</v>
      </c>
      <c r="D236">
        <v>584</v>
      </c>
      <c r="E236" s="1">
        <v>3961</v>
      </c>
      <c r="F236" s="2">
        <v>68605</v>
      </c>
    </row>
    <row r="237" spans="1:6" x14ac:dyDescent="0.3">
      <c r="A237">
        <v>2024</v>
      </c>
      <c r="B237" t="s">
        <v>59</v>
      </c>
      <c r="C237" t="s">
        <v>43</v>
      </c>
      <c r="D237" s="1">
        <v>4875</v>
      </c>
      <c r="E237" s="1">
        <v>64840</v>
      </c>
      <c r="F237" s="2">
        <v>117848</v>
      </c>
    </row>
    <row r="238" spans="1:6" x14ac:dyDescent="0.3">
      <c r="A238">
        <v>2024</v>
      </c>
      <c r="B238" t="s">
        <v>59</v>
      </c>
      <c r="C238" t="s">
        <v>44</v>
      </c>
      <c r="D238" s="1">
        <v>5419</v>
      </c>
      <c r="E238" s="1">
        <v>148556</v>
      </c>
      <c r="F238" s="2">
        <v>242273</v>
      </c>
    </row>
    <row r="239" spans="1:6" x14ac:dyDescent="0.3">
      <c r="A239">
        <v>2024</v>
      </c>
      <c r="B239" t="s">
        <v>59</v>
      </c>
      <c r="C239" t="s">
        <v>45</v>
      </c>
      <c r="D239">
        <v>825</v>
      </c>
      <c r="E239" s="1">
        <v>7215</v>
      </c>
      <c r="F239" s="2">
        <v>58063</v>
      </c>
    </row>
    <row r="240" spans="1:6" x14ac:dyDescent="0.3">
      <c r="A240">
        <v>2024</v>
      </c>
      <c r="B240" t="s">
        <v>59</v>
      </c>
      <c r="C240" t="s">
        <v>46</v>
      </c>
      <c r="D240" s="1">
        <v>2400</v>
      </c>
      <c r="E240" s="1">
        <v>44846</v>
      </c>
      <c r="F240" s="2">
        <v>88336</v>
      </c>
    </row>
    <row r="241" spans="1:6" x14ac:dyDescent="0.3">
      <c r="A241">
        <v>2024</v>
      </c>
      <c r="B241" t="s">
        <v>59</v>
      </c>
      <c r="C241" t="s">
        <v>47</v>
      </c>
      <c r="D241">
        <v>428</v>
      </c>
      <c r="E241" s="1">
        <v>3000</v>
      </c>
      <c r="F241" s="2">
        <v>54299</v>
      </c>
    </row>
    <row r="242" spans="1:6" x14ac:dyDescent="0.3">
      <c r="A242">
        <v>2024</v>
      </c>
      <c r="B242" t="s">
        <v>60</v>
      </c>
      <c r="C242" t="s">
        <v>0</v>
      </c>
      <c r="D242" s="1">
        <v>13880</v>
      </c>
      <c r="E242" s="1">
        <v>94715</v>
      </c>
      <c r="F242" s="2">
        <v>75982</v>
      </c>
    </row>
    <row r="243" spans="1:6" x14ac:dyDescent="0.3">
      <c r="A243">
        <v>2024</v>
      </c>
      <c r="B243" t="s">
        <v>60</v>
      </c>
      <c r="C243" t="s">
        <v>1</v>
      </c>
      <c r="D243" s="1">
        <v>20707</v>
      </c>
      <c r="E243" s="1">
        <v>225922</v>
      </c>
      <c r="F243" s="2">
        <v>82956</v>
      </c>
    </row>
    <row r="244" spans="1:6" x14ac:dyDescent="0.3">
      <c r="A244">
        <v>2024</v>
      </c>
      <c r="B244" t="s">
        <v>60</v>
      </c>
      <c r="C244" t="s">
        <v>2</v>
      </c>
      <c r="D244" s="1">
        <v>8906</v>
      </c>
      <c r="E244" s="1">
        <v>51950</v>
      </c>
      <c r="F244" s="2">
        <v>65321</v>
      </c>
    </row>
    <row r="245" spans="1:6" x14ac:dyDescent="0.3">
      <c r="A245">
        <v>2024</v>
      </c>
      <c r="B245" t="s">
        <v>60</v>
      </c>
      <c r="C245" t="s">
        <v>3</v>
      </c>
      <c r="D245" s="1">
        <v>112775</v>
      </c>
      <c r="E245" s="1">
        <v>817007</v>
      </c>
      <c r="F245" s="2">
        <v>124107</v>
      </c>
    </row>
    <row r="246" spans="1:6" x14ac:dyDescent="0.3">
      <c r="A246">
        <v>2024</v>
      </c>
      <c r="B246" t="s">
        <v>60</v>
      </c>
      <c r="C246" t="s">
        <v>4</v>
      </c>
      <c r="D246" s="1">
        <v>25139</v>
      </c>
      <c r="E246" s="1">
        <v>165271</v>
      </c>
      <c r="F246" s="2">
        <v>97276</v>
      </c>
    </row>
    <row r="247" spans="1:6" x14ac:dyDescent="0.3">
      <c r="A247">
        <v>2024</v>
      </c>
      <c r="B247" t="s">
        <v>60</v>
      </c>
      <c r="C247" t="s">
        <v>5</v>
      </c>
      <c r="D247" s="1">
        <v>11223</v>
      </c>
      <c r="E247" s="1">
        <v>118168</v>
      </c>
      <c r="F247" s="2">
        <v>165086</v>
      </c>
    </row>
    <row r="248" spans="1:6" x14ac:dyDescent="0.3">
      <c r="A248">
        <v>2024</v>
      </c>
      <c r="B248" t="s">
        <v>60</v>
      </c>
      <c r="C248" t="s">
        <v>6</v>
      </c>
      <c r="D248" s="1">
        <v>3005</v>
      </c>
      <c r="E248" s="1">
        <v>47390</v>
      </c>
      <c r="F248" s="2">
        <v>103154</v>
      </c>
    </row>
    <row r="249" spans="1:6" x14ac:dyDescent="0.3">
      <c r="A249">
        <v>2024</v>
      </c>
      <c r="B249" t="s">
        <v>60</v>
      </c>
      <c r="C249" t="s">
        <v>7</v>
      </c>
      <c r="D249" s="1">
        <v>80956</v>
      </c>
      <c r="E249" s="1">
        <v>586706</v>
      </c>
      <c r="F249" s="2">
        <v>84307</v>
      </c>
    </row>
    <row r="250" spans="1:6" x14ac:dyDescent="0.3">
      <c r="A250">
        <v>2024</v>
      </c>
      <c r="B250" t="s">
        <v>60</v>
      </c>
      <c r="C250" t="s">
        <v>8</v>
      </c>
      <c r="D250" s="1">
        <v>28810</v>
      </c>
      <c r="E250" s="1">
        <v>242175</v>
      </c>
      <c r="F250" s="2">
        <v>93145</v>
      </c>
    </row>
    <row r="251" spans="1:6" x14ac:dyDescent="0.3">
      <c r="A251">
        <v>2024</v>
      </c>
      <c r="B251" t="s">
        <v>60</v>
      </c>
      <c r="C251" t="s">
        <v>9</v>
      </c>
      <c r="D251" s="1">
        <v>6508</v>
      </c>
      <c r="E251" s="1">
        <v>34249</v>
      </c>
      <c r="F251" s="2">
        <v>68833</v>
      </c>
    </row>
    <row r="252" spans="1:6" x14ac:dyDescent="0.3">
      <c r="A252">
        <v>2024</v>
      </c>
      <c r="B252" t="s">
        <v>60</v>
      </c>
      <c r="C252" t="s">
        <v>10</v>
      </c>
      <c r="D252" s="1">
        <v>33063</v>
      </c>
      <c r="E252" s="1">
        <v>376539</v>
      </c>
      <c r="F252" s="2">
        <v>121634</v>
      </c>
    </row>
    <row r="253" spans="1:6" x14ac:dyDescent="0.3">
      <c r="A253">
        <v>2024</v>
      </c>
      <c r="B253" t="s">
        <v>60</v>
      </c>
      <c r="C253" t="s">
        <v>11</v>
      </c>
      <c r="D253" s="1">
        <v>17574</v>
      </c>
      <c r="E253" s="1">
        <v>133449</v>
      </c>
      <c r="F253" s="2">
        <v>72283</v>
      </c>
    </row>
    <row r="254" spans="1:6" x14ac:dyDescent="0.3">
      <c r="A254">
        <v>2024</v>
      </c>
      <c r="B254" t="s">
        <v>60</v>
      </c>
      <c r="C254" t="s">
        <v>12</v>
      </c>
      <c r="D254" s="1">
        <v>10731</v>
      </c>
      <c r="E254" s="1">
        <v>109283</v>
      </c>
      <c r="F254" s="2">
        <v>81131</v>
      </c>
    </row>
    <row r="255" spans="1:6" x14ac:dyDescent="0.3">
      <c r="A255">
        <v>2024</v>
      </c>
      <c r="B255" t="s">
        <v>60</v>
      </c>
      <c r="C255" t="s">
        <v>13</v>
      </c>
      <c r="D255" s="1">
        <v>8752</v>
      </c>
      <c r="E255" s="1">
        <v>73310</v>
      </c>
      <c r="F255" s="2">
        <v>75889</v>
      </c>
    </row>
    <row r="256" spans="1:6" x14ac:dyDescent="0.3">
      <c r="A256">
        <v>2024</v>
      </c>
      <c r="B256" t="s">
        <v>60</v>
      </c>
      <c r="C256" t="s">
        <v>14</v>
      </c>
      <c r="D256" s="1">
        <v>11729</v>
      </c>
      <c r="E256" s="1">
        <v>92079</v>
      </c>
      <c r="F256" s="2">
        <v>75177</v>
      </c>
    </row>
    <row r="257" spans="1:6" x14ac:dyDescent="0.3">
      <c r="A257">
        <v>2024</v>
      </c>
      <c r="B257" t="s">
        <v>60</v>
      </c>
      <c r="C257" t="s">
        <v>15</v>
      </c>
      <c r="D257" s="1">
        <v>14229</v>
      </c>
      <c r="E257" s="1">
        <v>81149</v>
      </c>
      <c r="F257" s="2">
        <v>69409</v>
      </c>
    </row>
    <row r="258" spans="1:6" x14ac:dyDescent="0.3">
      <c r="A258">
        <v>2024</v>
      </c>
      <c r="B258" t="s">
        <v>60</v>
      </c>
      <c r="C258" t="s">
        <v>16</v>
      </c>
      <c r="D258" s="1">
        <v>3926</v>
      </c>
      <c r="E258" s="1">
        <v>30107</v>
      </c>
      <c r="F258" s="2">
        <v>75870</v>
      </c>
    </row>
    <row r="259" spans="1:6" x14ac:dyDescent="0.3">
      <c r="A259">
        <v>2024</v>
      </c>
      <c r="B259" t="s">
        <v>60</v>
      </c>
      <c r="C259" t="s">
        <v>17</v>
      </c>
      <c r="D259" s="1">
        <v>15692</v>
      </c>
      <c r="E259" s="1">
        <v>129771</v>
      </c>
      <c r="F259" s="2">
        <v>110159</v>
      </c>
    </row>
    <row r="260" spans="1:6" x14ac:dyDescent="0.3">
      <c r="A260">
        <v>2024</v>
      </c>
      <c r="B260" t="s">
        <v>60</v>
      </c>
      <c r="C260" t="s">
        <v>18</v>
      </c>
      <c r="D260" s="1">
        <v>18137</v>
      </c>
      <c r="E260" s="1">
        <v>212062</v>
      </c>
      <c r="F260" s="2">
        <v>159120</v>
      </c>
    </row>
    <row r="261" spans="1:6" x14ac:dyDescent="0.3">
      <c r="A261">
        <v>2024</v>
      </c>
      <c r="B261" t="s">
        <v>60</v>
      </c>
      <c r="C261" t="s">
        <v>19</v>
      </c>
      <c r="D261" s="1">
        <v>20626</v>
      </c>
      <c r="E261" s="1">
        <v>207448</v>
      </c>
      <c r="F261" s="2">
        <v>81720</v>
      </c>
    </row>
    <row r="262" spans="1:6" x14ac:dyDescent="0.3">
      <c r="A262">
        <v>2024</v>
      </c>
      <c r="B262" t="s">
        <v>60</v>
      </c>
      <c r="C262" t="s">
        <v>20</v>
      </c>
      <c r="D262" s="1">
        <v>16134</v>
      </c>
      <c r="E262" s="1">
        <v>179728</v>
      </c>
      <c r="F262" s="2">
        <v>104989</v>
      </c>
    </row>
    <row r="263" spans="1:6" x14ac:dyDescent="0.3">
      <c r="A263">
        <v>2024</v>
      </c>
      <c r="B263" t="s">
        <v>60</v>
      </c>
      <c r="C263" t="s">
        <v>21</v>
      </c>
      <c r="D263" s="1">
        <v>7984</v>
      </c>
      <c r="E263" s="1">
        <v>41912</v>
      </c>
      <c r="F263" s="2">
        <v>59263</v>
      </c>
    </row>
    <row r="264" spans="1:6" x14ac:dyDescent="0.3">
      <c r="A264">
        <v>2024</v>
      </c>
      <c r="B264" t="s">
        <v>60</v>
      </c>
      <c r="C264" t="s">
        <v>22</v>
      </c>
      <c r="D264" s="1">
        <v>18815</v>
      </c>
      <c r="E264" s="1">
        <v>165564</v>
      </c>
      <c r="F264" s="2">
        <v>82664</v>
      </c>
    </row>
    <row r="265" spans="1:6" x14ac:dyDescent="0.3">
      <c r="A265">
        <v>2024</v>
      </c>
      <c r="B265" t="s">
        <v>60</v>
      </c>
      <c r="C265" t="s">
        <v>23</v>
      </c>
      <c r="D265" s="1">
        <v>4557</v>
      </c>
      <c r="E265" s="1">
        <v>21986</v>
      </c>
      <c r="F265" s="2">
        <v>67330</v>
      </c>
    </row>
    <row r="266" spans="1:6" x14ac:dyDescent="0.3">
      <c r="A266">
        <v>2024</v>
      </c>
      <c r="B266" t="s">
        <v>60</v>
      </c>
      <c r="C266" t="s">
        <v>24</v>
      </c>
      <c r="D266" s="1">
        <v>7000</v>
      </c>
      <c r="E266" s="1">
        <v>66588</v>
      </c>
      <c r="F266" s="2">
        <v>74942</v>
      </c>
    </row>
    <row r="267" spans="1:6" x14ac:dyDescent="0.3">
      <c r="A267">
        <v>2024</v>
      </c>
      <c r="B267" t="s">
        <v>60</v>
      </c>
      <c r="C267" t="s">
        <v>25</v>
      </c>
      <c r="D267" s="1">
        <v>9293</v>
      </c>
      <c r="E267" s="1">
        <v>62325</v>
      </c>
      <c r="F267" s="2">
        <v>79236</v>
      </c>
    </row>
    <row r="268" spans="1:6" x14ac:dyDescent="0.3">
      <c r="A268">
        <v>2024</v>
      </c>
      <c r="B268" t="s">
        <v>60</v>
      </c>
      <c r="C268" t="s">
        <v>26</v>
      </c>
      <c r="D268" s="1">
        <v>3946</v>
      </c>
      <c r="E268" s="1">
        <v>33027</v>
      </c>
      <c r="F268" s="2">
        <v>109751</v>
      </c>
    </row>
    <row r="269" spans="1:6" x14ac:dyDescent="0.3">
      <c r="A269">
        <v>2024</v>
      </c>
      <c r="B269" t="s">
        <v>60</v>
      </c>
      <c r="C269" t="s">
        <v>27</v>
      </c>
      <c r="D269" s="1">
        <v>20469</v>
      </c>
      <c r="E269" s="1">
        <v>235676</v>
      </c>
      <c r="F269" s="2">
        <v>127870</v>
      </c>
    </row>
    <row r="270" spans="1:6" x14ac:dyDescent="0.3">
      <c r="A270">
        <v>2024</v>
      </c>
      <c r="B270" t="s">
        <v>60</v>
      </c>
      <c r="C270" t="s">
        <v>28</v>
      </c>
      <c r="D270" s="1">
        <v>5600</v>
      </c>
      <c r="E270" s="1">
        <v>32608</v>
      </c>
      <c r="F270" s="2">
        <v>62343</v>
      </c>
    </row>
    <row r="271" spans="1:6" x14ac:dyDescent="0.3">
      <c r="A271">
        <v>2024</v>
      </c>
      <c r="B271" t="s">
        <v>60</v>
      </c>
      <c r="C271" t="s">
        <v>29</v>
      </c>
      <c r="D271" s="1">
        <v>63948</v>
      </c>
      <c r="E271" s="1">
        <v>700031</v>
      </c>
      <c r="F271" s="2">
        <v>207014</v>
      </c>
    </row>
    <row r="272" spans="1:6" x14ac:dyDescent="0.3">
      <c r="A272">
        <v>2024</v>
      </c>
      <c r="B272" t="s">
        <v>60</v>
      </c>
      <c r="C272" t="s">
        <v>30</v>
      </c>
      <c r="D272" s="1">
        <v>30275</v>
      </c>
      <c r="E272" s="1">
        <v>251672</v>
      </c>
      <c r="F272" s="2">
        <v>97234</v>
      </c>
    </row>
    <row r="273" spans="1:6" x14ac:dyDescent="0.3">
      <c r="A273">
        <v>2024</v>
      </c>
      <c r="B273" t="s">
        <v>60</v>
      </c>
      <c r="C273" t="s">
        <v>31</v>
      </c>
      <c r="D273" s="1">
        <v>3042</v>
      </c>
      <c r="E273" s="1">
        <v>22496</v>
      </c>
      <c r="F273" s="2">
        <v>69243</v>
      </c>
    </row>
    <row r="274" spans="1:6" x14ac:dyDescent="0.3">
      <c r="A274">
        <v>2024</v>
      </c>
      <c r="B274" t="s">
        <v>60</v>
      </c>
      <c r="C274" t="s">
        <v>32</v>
      </c>
      <c r="D274" s="1">
        <v>29307</v>
      </c>
      <c r="E274" s="1">
        <v>287990</v>
      </c>
      <c r="F274" s="2">
        <v>82336</v>
      </c>
    </row>
    <row r="275" spans="1:6" x14ac:dyDescent="0.3">
      <c r="A275">
        <v>2024</v>
      </c>
      <c r="B275" t="s">
        <v>60</v>
      </c>
      <c r="C275" t="s">
        <v>33</v>
      </c>
      <c r="D275" s="1">
        <v>11701</v>
      </c>
      <c r="E275" s="1">
        <v>74614</v>
      </c>
      <c r="F275" s="2">
        <v>64030</v>
      </c>
    </row>
    <row r="276" spans="1:6" x14ac:dyDescent="0.3">
      <c r="A276">
        <v>2024</v>
      </c>
      <c r="B276" t="s">
        <v>60</v>
      </c>
      <c r="C276" t="s">
        <v>34</v>
      </c>
      <c r="D276" s="1">
        <v>13352</v>
      </c>
      <c r="E276" s="1">
        <v>83937</v>
      </c>
      <c r="F276" s="2">
        <v>80727</v>
      </c>
    </row>
    <row r="277" spans="1:6" x14ac:dyDescent="0.3">
      <c r="A277">
        <v>2024</v>
      </c>
      <c r="B277" t="s">
        <v>60</v>
      </c>
      <c r="C277" t="s">
        <v>35</v>
      </c>
      <c r="D277" s="1">
        <v>29714</v>
      </c>
      <c r="E277" s="1">
        <v>325571</v>
      </c>
      <c r="F277" s="2">
        <v>97231</v>
      </c>
    </row>
    <row r="278" spans="1:6" x14ac:dyDescent="0.3">
      <c r="A278">
        <v>2024</v>
      </c>
      <c r="B278" t="s">
        <v>60</v>
      </c>
      <c r="C278" t="s">
        <v>36</v>
      </c>
      <c r="D278" s="1">
        <v>3038</v>
      </c>
      <c r="E278" s="1">
        <v>31304</v>
      </c>
      <c r="F278" s="2">
        <v>100316</v>
      </c>
    </row>
    <row r="279" spans="1:6" x14ac:dyDescent="0.3">
      <c r="A279">
        <v>2024</v>
      </c>
      <c r="B279" t="s">
        <v>60</v>
      </c>
      <c r="C279" t="s">
        <v>37</v>
      </c>
      <c r="D279" s="1">
        <v>15078</v>
      </c>
      <c r="E279" s="1">
        <v>101637</v>
      </c>
      <c r="F279" s="2">
        <v>71361</v>
      </c>
    </row>
    <row r="280" spans="1:6" x14ac:dyDescent="0.3">
      <c r="A280">
        <v>2024</v>
      </c>
      <c r="B280" t="s">
        <v>60</v>
      </c>
      <c r="C280" t="s">
        <v>38</v>
      </c>
      <c r="D280" s="1">
        <v>3397</v>
      </c>
      <c r="E280" s="1">
        <v>27809</v>
      </c>
      <c r="F280" s="2">
        <v>69345</v>
      </c>
    </row>
    <row r="281" spans="1:6" x14ac:dyDescent="0.3">
      <c r="A281">
        <v>2024</v>
      </c>
      <c r="B281" t="s">
        <v>60</v>
      </c>
      <c r="C281" t="s">
        <v>39</v>
      </c>
      <c r="D281" s="1">
        <v>16893</v>
      </c>
      <c r="E281" s="1">
        <v>155926</v>
      </c>
      <c r="F281" s="2">
        <v>85116</v>
      </c>
    </row>
    <row r="282" spans="1:6" x14ac:dyDescent="0.3">
      <c r="A282">
        <v>2024</v>
      </c>
      <c r="B282" t="s">
        <v>60</v>
      </c>
      <c r="C282" t="s">
        <v>40</v>
      </c>
      <c r="D282" s="1">
        <v>78940</v>
      </c>
      <c r="E282" s="1">
        <v>778554</v>
      </c>
      <c r="F282" s="2">
        <v>92477</v>
      </c>
    </row>
    <row r="283" spans="1:6" x14ac:dyDescent="0.3">
      <c r="A283">
        <v>2024</v>
      </c>
      <c r="B283" t="s">
        <v>60</v>
      </c>
      <c r="C283" t="s">
        <v>41</v>
      </c>
      <c r="D283" s="1">
        <v>12580</v>
      </c>
      <c r="E283" s="1">
        <v>93379</v>
      </c>
      <c r="F283" s="2">
        <v>79806</v>
      </c>
    </row>
    <row r="284" spans="1:6" x14ac:dyDescent="0.3">
      <c r="A284">
        <v>2024</v>
      </c>
      <c r="B284" t="s">
        <v>60</v>
      </c>
      <c r="C284" t="s">
        <v>42</v>
      </c>
      <c r="D284" s="1">
        <v>1719</v>
      </c>
      <c r="E284" s="1">
        <v>11578</v>
      </c>
      <c r="F284" s="2">
        <v>80135</v>
      </c>
    </row>
    <row r="285" spans="1:6" x14ac:dyDescent="0.3">
      <c r="A285">
        <v>2024</v>
      </c>
      <c r="B285" t="s">
        <v>60</v>
      </c>
      <c r="C285" t="s">
        <v>43</v>
      </c>
      <c r="D285" s="1">
        <v>22750</v>
      </c>
      <c r="E285" s="1">
        <v>195671</v>
      </c>
      <c r="F285" s="2">
        <v>97246</v>
      </c>
    </row>
    <row r="286" spans="1:6" x14ac:dyDescent="0.3">
      <c r="A286">
        <v>2024</v>
      </c>
      <c r="B286" t="s">
        <v>60</v>
      </c>
      <c r="C286" t="s">
        <v>44</v>
      </c>
      <c r="D286" s="1">
        <v>18828</v>
      </c>
      <c r="E286" s="1">
        <v>147772</v>
      </c>
      <c r="F286" s="2">
        <v>95674</v>
      </c>
    </row>
    <row r="287" spans="1:6" x14ac:dyDescent="0.3">
      <c r="A287">
        <v>2024</v>
      </c>
      <c r="B287" t="s">
        <v>60</v>
      </c>
      <c r="C287" t="s">
        <v>45</v>
      </c>
      <c r="D287" s="1">
        <v>4042</v>
      </c>
      <c r="E287" s="1">
        <v>24190</v>
      </c>
      <c r="F287" s="2">
        <v>56764</v>
      </c>
    </row>
    <row r="288" spans="1:6" x14ac:dyDescent="0.3">
      <c r="A288">
        <v>2024</v>
      </c>
      <c r="B288" t="s">
        <v>60</v>
      </c>
      <c r="C288" t="s">
        <v>46</v>
      </c>
      <c r="D288" s="1">
        <v>14688</v>
      </c>
      <c r="E288" s="1">
        <v>148829</v>
      </c>
      <c r="F288" s="2">
        <v>80470</v>
      </c>
    </row>
    <row r="289" spans="1:6" x14ac:dyDescent="0.3">
      <c r="A289">
        <v>2024</v>
      </c>
      <c r="B289" t="s">
        <v>60</v>
      </c>
      <c r="C289" t="s">
        <v>47</v>
      </c>
      <c r="D289" s="1">
        <v>2353</v>
      </c>
      <c r="E289" s="1">
        <v>10919</v>
      </c>
      <c r="F289" s="2">
        <v>64480</v>
      </c>
    </row>
    <row r="290" spans="1:6" x14ac:dyDescent="0.3">
      <c r="A290">
        <v>2024</v>
      </c>
      <c r="B290" t="s">
        <v>61</v>
      </c>
      <c r="C290" t="s">
        <v>0</v>
      </c>
      <c r="D290" s="1">
        <v>22875</v>
      </c>
      <c r="E290" s="1">
        <v>242419</v>
      </c>
      <c r="F290" s="2">
        <v>62111</v>
      </c>
    </row>
    <row r="291" spans="1:6" x14ac:dyDescent="0.3">
      <c r="A291">
        <v>2024</v>
      </c>
      <c r="B291" t="s">
        <v>61</v>
      </c>
      <c r="C291" t="s">
        <v>1</v>
      </c>
      <c r="D291" s="1">
        <v>40867</v>
      </c>
      <c r="E291" s="1">
        <v>431379</v>
      </c>
      <c r="F291" s="2">
        <v>63180</v>
      </c>
    </row>
    <row r="292" spans="1:6" x14ac:dyDescent="0.3">
      <c r="A292">
        <v>2024</v>
      </c>
      <c r="B292" t="s">
        <v>61</v>
      </c>
      <c r="C292" t="s">
        <v>2</v>
      </c>
      <c r="D292" s="1">
        <v>15490</v>
      </c>
      <c r="E292" s="1">
        <v>139300</v>
      </c>
      <c r="F292" s="2">
        <v>68067</v>
      </c>
    </row>
    <row r="293" spans="1:6" x14ac:dyDescent="0.3">
      <c r="A293">
        <v>2024</v>
      </c>
      <c r="B293" t="s">
        <v>61</v>
      </c>
      <c r="C293" t="s">
        <v>3</v>
      </c>
      <c r="D293" s="1">
        <v>221985</v>
      </c>
      <c r="E293" s="1">
        <v>2600604</v>
      </c>
      <c r="F293" s="2">
        <v>106486</v>
      </c>
    </row>
    <row r="294" spans="1:6" x14ac:dyDescent="0.3">
      <c r="A294">
        <v>2024</v>
      </c>
      <c r="B294" t="s">
        <v>61</v>
      </c>
      <c r="C294" t="s">
        <v>4</v>
      </c>
      <c r="D294" s="1">
        <v>58286</v>
      </c>
      <c r="E294" s="1">
        <v>430367</v>
      </c>
      <c r="F294" s="2">
        <v>90744</v>
      </c>
    </row>
    <row r="295" spans="1:6" x14ac:dyDescent="0.3">
      <c r="A295">
        <v>2024</v>
      </c>
      <c r="B295" t="s">
        <v>61</v>
      </c>
      <c r="C295" t="s">
        <v>5</v>
      </c>
      <c r="D295" s="1">
        <v>24131</v>
      </c>
      <c r="E295" s="1">
        <v>206629</v>
      </c>
      <c r="F295" s="2">
        <v>95714</v>
      </c>
    </row>
    <row r="296" spans="1:6" x14ac:dyDescent="0.3">
      <c r="A296">
        <v>2024</v>
      </c>
      <c r="B296" t="s">
        <v>61</v>
      </c>
      <c r="C296" t="s">
        <v>6</v>
      </c>
      <c r="D296" s="1">
        <v>9766</v>
      </c>
      <c r="E296" s="1">
        <v>61669</v>
      </c>
      <c r="F296" s="2">
        <v>85651</v>
      </c>
    </row>
    <row r="297" spans="1:6" x14ac:dyDescent="0.3">
      <c r="A297">
        <v>2024</v>
      </c>
      <c r="B297" t="s">
        <v>61</v>
      </c>
      <c r="C297" t="s">
        <v>7</v>
      </c>
      <c r="D297" s="1">
        <v>179893</v>
      </c>
      <c r="E297" s="1">
        <v>1358317</v>
      </c>
      <c r="F297" s="2">
        <v>68223</v>
      </c>
    </row>
    <row r="298" spans="1:6" x14ac:dyDescent="0.3">
      <c r="A298">
        <v>2024</v>
      </c>
      <c r="B298" t="s">
        <v>61</v>
      </c>
      <c r="C298" t="s">
        <v>8</v>
      </c>
      <c r="D298" s="1">
        <v>60683</v>
      </c>
      <c r="E298" s="1">
        <v>692452</v>
      </c>
      <c r="F298" s="2">
        <v>76331</v>
      </c>
    </row>
    <row r="299" spans="1:6" x14ac:dyDescent="0.3">
      <c r="A299">
        <v>2024</v>
      </c>
      <c r="B299" t="s">
        <v>61</v>
      </c>
      <c r="C299" t="s">
        <v>9</v>
      </c>
      <c r="D299" s="1">
        <v>12911</v>
      </c>
      <c r="E299" s="1">
        <v>97097</v>
      </c>
      <c r="F299" s="2">
        <v>59743</v>
      </c>
    </row>
    <row r="300" spans="1:6" x14ac:dyDescent="0.3">
      <c r="A300">
        <v>2024</v>
      </c>
      <c r="B300" t="s">
        <v>61</v>
      </c>
      <c r="C300" t="s">
        <v>10</v>
      </c>
      <c r="D300" s="1">
        <v>75904</v>
      </c>
      <c r="E300" s="1">
        <v>892150</v>
      </c>
      <c r="F300" s="2">
        <v>83889</v>
      </c>
    </row>
    <row r="301" spans="1:6" x14ac:dyDescent="0.3">
      <c r="A301">
        <v>2024</v>
      </c>
      <c r="B301" t="s">
        <v>61</v>
      </c>
      <c r="C301" t="s">
        <v>11</v>
      </c>
      <c r="D301" s="1">
        <v>32143</v>
      </c>
      <c r="E301" s="1">
        <v>326745</v>
      </c>
      <c r="F301" s="2">
        <v>58578</v>
      </c>
    </row>
    <row r="302" spans="1:6" x14ac:dyDescent="0.3">
      <c r="A302">
        <v>2024</v>
      </c>
      <c r="B302" t="s">
        <v>61</v>
      </c>
      <c r="C302" t="s">
        <v>12</v>
      </c>
      <c r="D302" s="1">
        <v>16706</v>
      </c>
      <c r="E302" s="1">
        <v>134822</v>
      </c>
      <c r="F302" s="2">
        <v>61793</v>
      </c>
    </row>
    <row r="303" spans="1:6" x14ac:dyDescent="0.3">
      <c r="A303">
        <v>2024</v>
      </c>
      <c r="B303" t="s">
        <v>61</v>
      </c>
      <c r="C303" t="s">
        <v>13</v>
      </c>
      <c r="D303" s="1">
        <v>16823</v>
      </c>
      <c r="E303" s="1">
        <v>168813</v>
      </c>
      <c r="F303" s="2">
        <v>69538</v>
      </c>
    </row>
    <row r="304" spans="1:6" x14ac:dyDescent="0.3">
      <c r="A304">
        <v>2024</v>
      </c>
      <c r="B304" t="s">
        <v>61</v>
      </c>
      <c r="C304" t="s">
        <v>14</v>
      </c>
      <c r="D304" s="1">
        <v>22329</v>
      </c>
      <c r="E304" s="1">
        <v>207575</v>
      </c>
      <c r="F304" s="2">
        <v>55987</v>
      </c>
    </row>
    <row r="305" spans="1:6" x14ac:dyDescent="0.3">
      <c r="A305">
        <v>2024</v>
      </c>
      <c r="B305" t="s">
        <v>61</v>
      </c>
      <c r="C305" t="s">
        <v>15</v>
      </c>
      <c r="D305" s="1">
        <v>26262</v>
      </c>
      <c r="E305" s="1">
        <v>204729</v>
      </c>
      <c r="F305" s="2">
        <v>60136</v>
      </c>
    </row>
    <row r="306" spans="1:6" x14ac:dyDescent="0.3">
      <c r="A306">
        <v>2024</v>
      </c>
      <c r="B306" t="s">
        <v>61</v>
      </c>
      <c r="C306" t="s">
        <v>16</v>
      </c>
      <c r="D306" s="1">
        <v>11267</v>
      </c>
      <c r="E306" s="1">
        <v>68952</v>
      </c>
      <c r="F306" s="2">
        <v>66178</v>
      </c>
    </row>
    <row r="307" spans="1:6" x14ac:dyDescent="0.3">
      <c r="A307">
        <v>2024</v>
      </c>
      <c r="B307" t="s">
        <v>61</v>
      </c>
      <c r="C307" t="s">
        <v>17</v>
      </c>
      <c r="D307" s="1">
        <v>44172</v>
      </c>
      <c r="E307" s="1">
        <v>441860</v>
      </c>
      <c r="F307" s="2">
        <v>88391</v>
      </c>
    </row>
    <row r="308" spans="1:6" x14ac:dyDescent="0.3">
      <c r="A308">
        <v>2024</v>
      </c>
      <c r="B308" t="s">
        <v>61</v>
      </c>
      <c r="C308" t="s">
        <v>18</v>
      </c>
      <c r="D308" s="1">
        <v>48428</v>
      </c>
      <c r="E308" s="1">
        <v>583792</v>
      </c>
      <c r="F308" s="2">
        <v>124638</v>
      </c>
    </row>
    <row r="309" spans="1:6" x14ac:dyDescent="0.3">
      <c r="A309">
        <v>2024</v>
      </c>
      <c r="B309" t="s">
        <v>61</v>
      </c>
      <c r="C309" t="s">
        <v>19</v>
      </c>
      <c r="D309" s="1">
        <v>46269</v>
      </c>
      <c r="E309" s="1">
        <v>599657</v>
      </c>
      <c r="F309" s="2">
        <v>76432</v>
      </c>
    </row>
    <row r="310" spans="1:6" x14ac:dyDescent="0.3">
      <c r="A310">
        <v>2024</v>
      </c>
      <c r="B310" t="s">
        <v>61</v>
      </c>
      <c r="C310" t="s">
        <v>20</v>
      </c>
      <c r="D310" s="1">
        <v>33603</v>
      </c>
      <c r="E310" s="1">
        <v>361183</v>
      </c>
      <c r="F310" s="2">
        <v>91033</v>
      </c>
    </row>
    <row r="311" spans="1:6" x14ac:dyDescent="0.3">
      <c r="A311">
        <v>2024</v>
      </c>
      <c r="B311" t="s">
        <v>61</v>
      </c>
      <c r="C311" t="s">
        <v>21</v>
      </c>
      <c r="D311" s="1">
        <v>12692</v>
      </c>
      <c r="E311" s="1">
        <v>107758</v>
      </c>
      <c r="F311" s="2">
        <v>45573</v>
      </c>
    </row>
    <row r="312" spans="1:6" x14ac:dyDescent="0.3">
      <c r="A312">
        <v>2024</v>
      </c>
      <c r="B312" t="s">
        <v>61</v>
      </c>
      <c r="C312" t="s">
        <v>22</v>
      </c>
      <c r="D312" s="1">
        <v>36089</v>
      </c>
      <c r="E312" s="1">
        <v>365657</v>
      </c>
      <c r="F312" s="2">
        <v>72666</v>
      </c>
    </row>
    <row r="313" spans="1:6" x14ac:dyDescent="0.3">
      <c r="A313">
        <v>2024</v>
      </c>
      <c r="B313" t="s">
        <v>61</v>
      </c>
      <c r="C313" t="s">
        <v>23</v>
      </c>
      <c r="D313" s="1">
        <v>10331</v>
      </c>
      <c r="E313" s="1">
        <v>43549</v>
      </c>
      <c r="F313" s="2">
        <v>59785</v>
      </c>
    </row>
    <row r="314" spans="1:6" x14ac:dyDescent="0.3">
      <c r="A314">
        <v>2024</v>
      </c>
      <c r="B314" t="s">
        <v>61</v>
      </c>
      <c r="C314" t="s">
        <v>24</v>
      </c>
      <c r="D314" s="1">
        <v>11809</v>
      </c>
      <c r="E314" s="1">
        <v>117288</v>
      </c>
      <c r="F314" s="2">
        <v>65292</v>
      </c>
    </row>
    <row r="315" spans="1:6" x14ac:dyDescent="0.3">
      <c r="A315">
        <v>2024</v>
      </c>
      <c r="B315" t="s">
        <v>61</v>
      </c>
      <c r="C315" t="s">
        <v>25</v>
      </c>
      <c r="D315" s="1">
        <v>20046</v>
      </c>
      <c r="E315" s="1">
        <v>179092</v>
      </c>
      <c r="F315" s="2">
        <v>67081</v>
      </c>
    </row>
    <row r="316" spans="1:6" x14ac:dyDescent="0.3">
      <c r="A316">
        <v>2024</v>
      </c>
      <c r="B316" t="s">
        <v>61</v>
      </c>
      <c r="C316" t="s">
        <v>26</v>
      </c>
      <c r="D316" s="1">
        <v>13616</v>
      </c>
      <c r="E316" s="1">
        <v>81639</v>
      </c>
      <c r="F316" s="2">
        <v>88167</v>
      </c>
    </row>
    <row r="317" spans="1:6" x14ac:dyDescent="0.3">
      <c r="A317">
        <v>2024</v>
      </c>
      <c r="B317" t="s">
        <v>61</v>
      </c>
      <c r="C317" t="s">
        <v>27</v>
      </c>
      <c r="D317" s="1">
        <v>53304</v>
      </c>
      <c r="E317" s="1">
        <v>643507</v>
      </c>
      <c r="F317" s="2">
        <v>102666</v>
      </c>
    </row>
    <row r="318" spans="1:6" x14ac:dyDescent="0.3">
      <c r="A318">
        <v>2024</v>
      </c>
      <c r="B318" t="s">
        <v>61</v>
      </c>
      <c r="C318" t="s">
        <v>28</v>
      </c>
      <c r="D318" s="1">
        <v>11550</v>
      </c>
      <c r="E318" s="1">
        <v>107707</v>
      </c>
      <c r="F318" s="2">
        <v>69938</v>
      </c>
    </row>
    <row r="319" spans="1:6" x14ac:dyDescent="0.3">
      <c r="A319">
        <v>2024</v>
      </c>
      <c r="B319" t="s">
        <v>61</v>
      </c>
      <c r="C319" t="s">
        <v>29</v>
      </c>
      <c r="D319" s="1">
        <v>117347</v>
      </c>
      <c r="E319" s="1">
        <v>1242471</v>
      </c>
      <c r="F319" s="2">
        <v>109413</v>
      </c>
    </row>
    <row r="320" spans="1:6" x14ac:dyDescent="0.3">
      <c r="A320">
        <v>2024</v>
      </c>
      <c r="B320" t="s">
        <v>61</v>
      </c>
      <c r="C320" t="s">
        <v>30</v>
      </c>
      <c r="D320" s="1">
        <v>64843</v>
      </c>
      <c r="E320" s="1">
        <v>637719</v>
      </c>
      <c r="F320" s="2">
        <v>72078</v>
      </c>
    </row>
    <row r="321" spans="1:6" x14ac:dyDescent="0.3">
      <c r="A321">
        <v>2024</v>
      </c>
      <c r="B321" t="s">
        <v>61</v>
      </c>
      <c r="C321" t="s">
        <v>31</v>
      </c>
      <c r="D321" s="1">
        <v>5337</v>
      </c>
      <c r="E321" s="1">
        <v>31642</v>
      </c>
      <c r="F321" s="2">
        <v>65877</v>
      </c>
    </row>
    <row r="322" spans="1:6" x14ac:dyDescent="0.3">
      <c r="A322">
        <v>2024</v>
      </c>
      <c r="B322" t="s">
        <v>61</v>
      </c>
      <c r="C322" t="s">
        <v>32</v>
      </c>
      <c r="D322" s="1">
        <v>55987</v>
      </c>
      <c r="E322" s="1">
        <v>697244</v>
      </c>
      <c r="F322" s="2">
        <v>71920</v>
      </c>
    </row>
    <row r="323" spans="1:6" x14ac:dyDescent="0.3">
      <c r="A323">
        <v>2024</v>
      </c>
      <c r="B323" t="s">
        <v>61</v>
      </c>
      <c r="C323" t="s">
        <v>33</v>
      </c>
      <c r="D323" s="1">
        <v>21652</v>
      </c>
      <c r="E323" s="1">
        <v>185307</v>
      </c>
      <c r="F323" s="2">
        <v>58539</v>
      </c>
    </row>
    <row r="324" spans="1:6" x14ac:dyDescent="0.3">
      <c r="A324">
        <v>2024</v>
      </c>
      <c r="B324" t="s">
        <v>61</v>
      </c>
      <c r="C324" t="s">
        <v>34</v>
      </c>
      <c r="D324" s="1">
        <v>27033</v>
      </c>
      <c r="E324" s="1">
        <v>242218</v>
      </c>
      <c r="F324" s="2">
        <v>81224</v>
      </c>
    </row>
    <row r="325" spans="1:6" x14ac:dyDescent="0.3">
      <c r="A325">
        <v>2024</v>
      </c>
      <c r="B325" t="s">
        <v>61</v>
      </c>
      <c r="C325" t="s">
        <v>35</v>
      </c>
      <c r="D325" s="1">
        <v>66210</v>
      </c>
      <c r="E325" s="1">
        <v>766122</v>
      </c>
      <c r="F325" s="2">
        <v>86971</v>
      </c>
    </row>
    <row r="326" spans="1:6" x14ac:dyDescent="0.3">
      <c r="A326">
        <v>2024</v>
      </c>
      <c r="B326" t="s">
        <v>61</v>
      </c>
      <c r="C326" t="s">
        <v>36</v>
      </c>
      <c r="D326" s="1">
        <v>9567</v>
      </c>
      <c r="E326" s="1">
        <v>65232</v>
      </c>
      <c r="F326" s="2">
        <v>75829</v>
      </c>
    </row>
    <row r="327" spans="1:6" x14ac:dyDescent="0.3">
      <c r="A327">
        <v>2024</v>
      </c>
      <c r="B327" t="s">
        <v>61</v>
      </c>
      <c r="C327" t="s">
        <v>37</v>
      </c>
      <c r="D327" s="1">
        <v>30793</v>
      </c>
      <c r="E327" s="1">
        <v>281874</v>
      </c>
      <c r="F327" s="2">
        <v>56907</v>
      </c>
    </row>
    <row r="328" spans="1:6" x14ac:dyDescent="0.3">
      <c r="A328">
        <v>2024</v>
      </c>
      <c r="B328" t="s">
        <v>61</v>
      </c>
      <c r="C328" t="s">
        <v>38</v>
      </c>
      <c r="D328" s="1">
        <v>5876</v>
      </c>
      <c r="E328" s="1">
        <v>32771</v>
      </c>
      <c r="F328" s="2">
        <v>63709</v>
      </c>
    </row>
    <row r="329" spans="1:6" x14ac:dyDescent="0.3">
      <c r="A329">
        <v>2024</v>
      </c>
      <c r="B329" t="s">
        <v>61</v>
      </c>
      <c r="C329" t="s">
        <v>39</v>
      </c>
      <c r="D329" s="1">
        <v>32595</v>
      </c>
      <c r="E329" s="1">
        <v>414644</v>
      </c>
      <c r="F329" s="2">
        <v>66460</v>
      </c>
    </row>
    <row r="330" spans="1:6" x14ac:dyDescent="0.3">
      <c r="A330">
        <v>2024</v>
      </c>
      <c r="B330" t="s">
        <v>61</v>
      </c>
      <c r="C330" t="s">
        <v>40</v>
      </c>
      <c r="D330" s="1">
        <v>146639</v>
      </c>
      <c r="E330" s="1">
        <v>1758991</v>
      </c>
      <c r="F330" s="2">
        <v>81123</v>
      </c>
    </row>
    <row r="331" spans="1:6" x14ac:dyDescent="0.3">
      <c r="A331">
        <v>2024</v>
      </c>
      <c r="B331" t="s">
        <v>61</v>
      </c>
      <c r="C331" t="s">
        <v>41</v>
      </c>
      <c r="D331" s="1">
        <v>25941</v>
      </c>
      <c r="E331" s="1">
        <v>223284</v>
      </c>
      <c r="F331" s="2">
        <v>68355</v>
      </c>
    </row>
    <row r="332" spans="1:6" x14ac:dyDescent="0.3">
      <c r="A332">
        <v>2024</v>
      </c>
      <c r="B332" t="s">
        <v>61</v>
      </c>
      <c r="C332" t="s">
        <v>42</v>
      </c>
      <c r="D332" s="1">
        <v>6346</v>
      </c>
      <c r="E332" s="1">
        <v>28512</v>
      </c>
      <c r="F332" s="2">
        <v>74442</v>
      </c>
    </row>
    <row r="333" spans="1:6" x14ac:dyDescent="0.3">
      <c r="A333">
        <v>2024</v>
      </c>
      <c r="B333" t="s">
        <v>61</v>
      </c>
      <c r="C333" t="s">
        <v>43</v>
      </c>
      <c r="D333" s="1">
        <v>60099</v>
      </c>
      <c r="E333" s="1">
        <v>752090</v>
      </c>
      <c r="F333" s="2">
        <v>96046</v>
      </c>
    </row>
    <row r="334" spans="1:6" x14ac:dyDescent="0.3">
      <c r="A334">
        <v>2024</v>
      </c>
      <c r="B334" t="s">
        <v>61</v>
      </c>
      <c r="C334" t="s">
        <v>44</v>
      </c>
      <c r="D334" s="1">
        <v>43094</v>
      </c>
      <c r="E334" s="1">
        <v>415190</v>
      </c>
      <c r="F334" s="2">
        <v>92279</v>
      </c>
    </row>
    <row r="335" spans="1:6" x14ac:dyDescent="0.3">
      <c r="A335">
        <v>2024</v>
      </c>
      <c r="B335" t="s">
        <v>61</v>
      </c>
      <c r="C335" t="s">
        <v>45</v>
      </c>
      <c r="D335" s="1">
        <v>8599</v>
      </c>
      <c r="E335" s="1">
        <v>65715</v>
      </c>
      <c r="F335" s="2">
        <v>53557</v>
      </c>
    </row>
    <row r="336" spans="1:6" x14ac:dyDescent="0.3">
      <c r="A336">
        <v>2024</v>
      </c>
      <c r="B336" t="s">
        <v>61</v>
      </c>
      <c r="C336" t="s">
        <v>46</v>
      </c>
      <c r="D336" s="1">
        <v>27048</v>
      </c>
      <c r="E336" s="1">
        <v>309780</v>
      </c>
      <c r="F336" s="2">
        <v>67254</v>
      </c>
    </row>
    <row r="337" spans="1:6" x14ac:dyDescent="0.3">
      <c r="A337">
        <v>2024</v>
      </c>
      <c r="B337" t="s">
        <v>61</v>
      </c>
      <c r="C337" t="s">
        <v>47</v>
      </c>
      <c r="D337" s="1">
        <v>4986</v>
      </c>
      <c r="E337" s="1">
        <v>18382</v>
      </c>
      <c r="F337" s="2">
        <v>60233</v>
      </c>
    </row>
    <row r="338" spans="1:6" x14ac:dyDescent="0.3">
      <c r="A338">
        <v>2024</v>
      </c>
      <c r="B338" t="s">
        <v>62</v>
      </c>
      <c r="C338" t="s">
        <v>0</v>
      </c>
      <c r="D338" s="1">
        <v>15859</v>
      </c>
      <c r="E338" s="1">
        <v>228486</v>
      </c>
      <c r="F338" s="2">
        <v>51193</v>
      </c>
    </row>
    <row r="339" spans="1:6" x14ac:dyDescent="0.3">
      <c r="A339">
        <v>2024</v>
      </c>
      <c r="B339" t="s">
        <v>62</v>
      </c>
      <c r="C339" t="s">
        <v>1</v>
      </c>
      <c r="D339" s="1">
        <v>20727</v>
      </c>
      <c r="E339" s="1">
        <v>455356</v>
      </c>
      <c r="F339" s="2">
        <v>56159</v>
      </c>
    </row>
    <row r="340" spans="1:6" x14ac:dyDescent="0.3">
      <c r="A340">
        <v>2024</v>
      </c>
      <c r="B340" t="s">
        <v>62</v>
      </c>
      <c r="C340" t="s">
        <v>2</v>
      </c>
      <c r="D340" s="1">
        <v>15656</v>
      </c>
      <c r="E340" s="1">
        <v>181169</v>
      </c>
      <c r="F340" s="2">
        <v>47435</v>
      </c>
    </row>
    <row r="341" spans="1:6" x14ac:dyDescent="0.3">
      <c r="A341">
        <v>2024</v>
      </c>
      <c r="B341" t="s">
        <v>62</v>
      </c>
      <c r="C341" t="s">
        <v>3</v>
      </c>
      <c r="D341" s="1">
        <v>656765</v>
      </c>
      <c r="E341" s="1">
        <v>2651781</v>
      </c>
      <c r="F341" s="2">
        <v>57668</v>
      </c>
    </row>
    <row r="342" spans="1:6" x14ac:dyDescent="0.3">
      <c r="A342">
        <v>2024</v>
      </c>
      <c r="B342" t="s">
        <v>62</v>
      </c>
      <c r="C342" t="s">
        <v>4</v>
      </c>
      <c r="D342" s="1">
        <v>23475</v>
      </c>
      <c r="E342" s="1">
        <v>332209</v>
      </c>
      <c r="F342" s="2">
        <v>55198</v>
      </c>
    </row>
    <row r="343" spans="1:6" x14ac:dyDescent="0.3">
      <c r="A343">
        <v>2024</v>
      </c>
      <c r="B343" t="s">
        <v>62</v>
      </c>
      <c r="C343" t="s">
        <v>5</v>
      </c>
      <c r="D343" s="1">
        <v>19964</v>
      </c>
      <c r="E343" s="1">
        <v>319881</v>
      </c>
      <c r="F343" s="2">
        <v>61215</v>
      </c>
    </row>
    <row r="344" spans="1:6" x14ac:dyDescent="0.3">
      <c r="A344">
        <v>2024</v>
      </c>
      <c r="B344" t="s">
        <v>62</v>
      </c>
      <c r="C344" t="s">
        <v>6</v>
      </c>
      <c r="D344" s="1">
        <v>5522</v>
      </c>
      <c r="E344" s="1">
        <v>74184</v>
      </c>
      <c r="F344" s="2">
        <v>57470</v>
      </c>
    </row>
    <row r="345" spans="1:6" x14ac:dyDescent="0.3">
      <c r="A345">
        <v>2024</v>
      </c>
      <c r="B345" t="s">
        <v>62</v>
      </c>
      <c r="C345" t="s">
        <v>7</v>
      </c>
      <c r="D345" s="1">
        <v>85058</v>
      </c>
      <c r="E345" s="1">
        <v>1293582</v>
      </c>
      <c r="F345" s="2">
        <v>55114</v>
      </c>
    </row>
    <row r="346" spans="1:6" x14ac:dyDescent="0.3">
      <c r="A346">
        <v>2024</v>
      </c>
      <c r="B346" t="s">
        <v>62</v>
      </c>
      <c r="C346" t="s">
        <v>8</v>
      </c>
      <c r="D346" s="1">
        <v>31842</v>
      </c>
      <c r="E346" s="1">
        <v>561390</v>
      </c>
      <c r="F346" s="2">
        <v>57141</v>
      </c>
    </row>
    <row r="347" spans="1:6" x14ac:dyDescent="0.3">
      <c r="A347">
        <v>2024</v>
      </c>
      <c r="B347" t="s">
        <v>62</v>
      </c>
      <c r="C347" t="s">
        <v>9</v>
      </c>
      <c r="D347" s="1">
        <v>9128</v>
      </c>
      <c r="E347" s="1">
        <v>106752</v>
      </c>
      <c r="F347" s="2">
        <v>45479</v>
      </c>
    </row>
    <row r="348" spans="1:6" x14ac:dyDescent="0.3">
      <c r="A348">
        <v>2024</v>
      </c>
      <c r="B348" t="s">
        <v>62</v>
      </c>
      <c r="C348" t="s">
        <v>10</v>
      </c>
      <c r="D348" s="1">
        <v>39684</v>
      </c>
      <c r="E348" s="1">
        <v>882088</v>
      </c>
      <c r="F348" s="2">
        <v>55678</v>
      </c>
    </row>
    <row r="349" spans="1:6" x14ac:dyDescent="0.3">
      <c r="A349">
        <v>2024</v>
      </c>
      <c r="B349" t="s">
        <v>62</v>
      </c>
      <c r="C349" t="s">
        <v>11</v>
      </c>
      <c r="D349" s="1">
        <v>16899</v>
      </c>
      <c r="E349" s="1">
        <v>451743</v>
      </c>
      <c r="F349" s="2">
        <v>52802</v>
      </c>
    </row>
    <row r="350" spans="1:6" x14ac:dyDescent="0.3">
      <c r="A350">
        <v>2024</v>
      </c>
      <c r="B350" t="s">
        <v>62</v>
      </c>
      <c r="C350" t="s">
        <v>12</v>
      </c>
      <c r="D350" s="1">
        <v>13294</v>
      </c>
      <c r="E350" s="1">
        <v>209301</v>
      </c>
      <c r="F350" s="2">
        <v>47222</v>
      </c>
    </row>
    <row r="351" spans="1:6" x14ac:dyDescent="0.3">
      <c r="A351">
        <v>2024</v>
      </c>
      <c r="B351" t="s">
        <v>62</v>
      </c>
      <c r="C351" t="s">
        <v>13</v>
      </c>
      <c r="D351" s="1">
        <v>10330</v>
      </c>
      <c r="E351" s="1">
        <v>194569</v>
      </c>
      <c r="F351" s="2">
        <v>48486</v>
      </c>
    </row>
    <row r="352" spans="1:6" x14ac:dyDescent="0.3">
      <c r="A352">
        <v>2024</v>
      </c>
      <c r="B352" t="s">
        <v>62</v>
      </c>
      <c r="C352" t="s">
        <v>14</v>
      </c>
      <c r="D352" s="1">
        <v>20809</v>
      </c>
      <c r="E352" s="1">
        <v>263195</v>
      </c>
      <c r="F352" s="2">
        <v>52098</v>
      </c>
    </row>
    <row r="353" spans="1:6" x14ac:dyDescent="0.3">
      <c r="A353">
        <v>2024</v>
      </c>
      <c r="B353" t="s">
        <v>62</v>
      </c>
      <c r="C353" t="s">
        <v>15</v>
      </c>
      <c r="D353" s="1">
        <v>16834</v>
      </c>
      <c r="E353" s="1">
        <v>296324</v>
      </c>
      <c r="F353" s="2">
        <v>48222</v>
      </c>
    </row>
    <row r="354" spans="1:6" x14ac:dyDescent="0.3">
      <c r="A354">
        <v>2024</v>
      </c>
      <c r="B354" t="s">
        <v>62</v>
      </c>
      <c r="C354" t="s">
        <v>16</v>
      </c>
      <c r="D354" s="1">
        <v>5591</v>
      </c>
      <c r="E354" s="1">
        <v>115511</v>
      </c>
      <c r="F354" s="2">
        <v>53739</v>
      </c>
    </row>
    <row r="355" spans="1:6" x14ac:dyDescent="0.3">
      <c r="A355">
        <v>2024</v>
      </c>
      <c r="B355" t="s">
        <v>62</v>
      </c>
      <c r="C355" t="s">
        <v>17</v>
      </c>
      <c r="D355" s="1">
        <v>21505</v>
      </c>
      <c r="E355" s="1">
        <v>420463</v>
      </c>
      <c r="F355" s="2">
        <v>59854</v>
      </c>
    </row>
    <row r="356" spans="1:6" x14ac:dyDescent="0.3">
      <c r="A356">
        <v>2024</v>
      </c>
      <c r="B356" t="s">
        <v>62</v>
      </c>
      <c r="C356" t="s">
        <v>18</v>
      </c>
      <c r="D356" s="1">
        <v>71270</v>
      </c>
      <c r="E356" s="1">
        <v>742606</v>
      </c>
      <c r="F356" s="2">
        <v>64556</v>
      </c>
    </row>
    <row r="357" spans="1:6" x14ac:dyDescent="0.3">
      <c r="A357">
        <v>2024</v>
      </c>
      <c r="B357" t="s">
        <v>62</v>
      </c>
      <c r="C357" t="s">
        <v>19</v>
      </c>
      <c r="D357" s="1">
        <v>32965</v>
      </c>
      <c r="E357" s="1">
        <v>622119</v>
      </c>
      <c r="F357" s="2">
        <v>54163</v>
      </c>
    </row>
    <row r="358" spans="1:6" x14ac:dyDescent="0.3">
      <c r="A358">
        <v>2024</v>
      </c>
      <c r="B358" t="s">
        <v>62</v>
      </c>
      <c r="C358" t="s">
        <v>20</v>
      </c>
      <c r="D358" s="1">
        <v>22985</v>
      </c>
      <c r="E358" s="1">
        <v>513228</v>
      </c>
      <c r="F358" s="2">
        <v>55127</v>
      </c>
    </row>
    <row r="359" spans="1:6" x14ac:dyDescent="0.3">
      <c r="A359">
        <v>2024</v>
      </c>
      <c r="B359" t="s">
        <v>62</v>
      </c>
      <c r="C359" t="s">
        <v>21</v>
      </c>
      <c r="D359" s="1">
        <v>7693</v>
      </c>
      <c r="E359" s="1">
        <v>138876</v>
      </c>
      <c r="F359" s="2">
        <v>45670</v>
      </c>
    </row>
    <row r="360" spans="1:6" x14ac:dyDescent="0.3">
      <c r="A360">
        <v>2024</v>
      </c>
      <c r="B360" t="s">
        <v>62</v>
      </c>
      <c r="C360" t="s">
        <v>22</v>
      </c>
      <c r="D360" s="1">
        <v>56134</v>
      </c>
      <c r="E360" s="1">
        <v>448355</v>
      </c>
      <c r="F360" s="2">
        <v>50460</v>
      </c>
    </row>
    <row r="361" spans="1:6" x14ac:dyDescent="0.3">
      <c r="A361">
        <v>2024</v>
      </c>
      <c r="B361" t="s">
        <v>62</v>
      </c>
      <c r="C361" t="s">
        <v>23</v>
      </c>
      <c r="D361" s="1">
        <v>5112</v>
      </c>
      <c r="E361" s="1">
        <v>73374</v>
      </c>
      <c r="F361" s="2">
        <v>52612</v>
      </c>
    </row>
    <row r="362" spans="1:6" x14ac:dyDescent="0.3">
      <c r="A362">
        <v>2024</v>
      </c>
      <c r="B362" t="s">
        <v>62</v>
      </c>
      <c r="C362" t="s">
        <v>24</v>
      </c>
      <c r="D362" s="1">
        <v>10522</v>
      </c>
      <c r="E362" s="1">
        <v>135205</v>
      </c>
      <c r="F362" s="2">
        <v>51740</v>
      </c>
    </row>
    <row r="363" spans="1:6" x14ac:dyDescent="0.3">
      <c r="A363">
        <v>2024</v>
      </c>
      <c r="B363" t="s">
        <v>62</v>
      </c>
      <c r="C363" t="s">
        <v>25</v>
      </c>
      <c r="D363" s="1">
        <v>9126</v>
      </c>
      <c r="E363" s="1">
        <v>139696</v>
      </c>
      <c r="F363" s="2">
        <v>58047</v>
      </c>
    </row>
    <row r="364" spans="1:6" x14ac:dyDescent="0.3">
      <c r="A364">
        <v>2024</v>
      </c>
      <c r="B364" t="s">
        <v>62</v>
      </c>
      <c r="C364" t="s">
        <v>26</v>
      </c>
      <c r="D364" s="1">
        <v>4900</v>
      </c>
      <c r="E364" s="1">
        <v>108757</v>
      </c>
      <c r="F364" s="2">
        <v>63675</v>
      </c>
    </row>
    <row r="365" spans="1:6" x14ac:dyDescent="0.3">
      <c r="A365">
        <v>2024</v>
      </c>
      <c r="B365" t="s">
        <v>62</v>
      </c>
      <c r="C365" t="s">
        <v>27</v>
      </c>
      <c r="D365" s="1">
        <v>43568</v>
      </c>
      <c r="E365" s="1">
        <v>622420</v>
      </c>
      <c r="F365" s="2">
        <v>60044</v>
      </c>
    </row>
    <row r="366" spans="1:6" x14ac:dyDescent="0.3">
      <c r="A366">
        <v>2024</v>
      </c>
      <c r="B366" t="s">
        <v>62</v>
      </c>
      <c r="C366" t="s">
        <v>28</v>
      </c>
      <c r="D366" s="1">
        <v>11448</v>
      </c>
      <c r="E366" s="1">
        <v>126459</v>
      </c>
      <c r="F366" s="2">
        <v>45191</v>
      </c>
    </row>
    <row r="367" spans="1:6" x14ac:dyDescent="0.3">
      <c r="A367">
        <v>2024</v>
      </c>
      <c r="B367" t="s">
        <v>62</v>
      </c>
      <c r="C367" t="s">
        <v>29</v>
      </c>
      <c r="D367" s="1">
        <v>67893</v>
      </c>
      <c r="E367" s="1">
        <v>1872526</v>
      </c>
      <c r="F367" s="2">
        <v>58936</v>
      </c>
    </row>
    <row r="368" spans="1:6" x14ac:dyDescent="0.3">
      <c r="A368">
        <v>2024</v>
      </c>
      <c r="B368" t="s">
        <v>62</v>
      </c>
      <c r="C368" t="s">
        <v>30</v>
      </c>
      <c r="D368" s="1">
        <v>29514</v>
      </c>
      <c r="E368" s="1">
        <v>584896</v>
      </c>
      <c r="F368" s="2">
        <v>53252</v>
      </c>
    </row>
    <row r="369" spans="1:6" x14ac:dyDescent="0.3">
      <c r="A369">
        <v>2024</v>
      </c>
      <c r="B369" t="s">
        <v>62</v>
      </c>
      <c r="C369" t="s">
        <v>31</v>
      </c>
      <c r="D369" s="1">
        <v>2737</v>
      </c>
      <c r="E369" s="1">
        <v>64418</v>
      </c>
      <c r="F369" s="2">
        <v>55234</v>
      </c>
    </row>
    <row r="370" spans="1:6" x14ac:dyDescent="0.3">
      <c r="A370">
        <v>2024</v>
      </c>
      <c r="B370" t="s">
        <v>62</v>
      </c>
      <c r="C370" t="s">
        <v>32</v>
      </c>
      <c r="D370" s="1">
        <v>35930</v>
      </c>
      <c r="E370" s="1">
        <v>868191</v>
      </c>
      <c r="F370" s="2">
        <v>51366</v>
      </c>
    </row>
    <row r="371" spans="1:6" x14ac:dyDescent="0.3">
      <c r="A371">
        <v>2024</v>
      </c>
      <c r="B371" t="s">
        <v>62</v>
      </c>
      <c r="C371" t="s">
        <v>33</v>
      </c>
      <c r="D371" s="1">
        <v>13656</v>
      </c>
      <c r="E371" s="1">
        <v>209679</v>
      </c>
      <c r="F371" s="2">
        <v>49095</v>
      </c>
    </row>
    <row r="372" spans="1:6" x14ac:dyDescent="0.3">
      <c r="A372">
        <v>2024</v>
      </c>
      <c r="B372" t="s">
        <v>62</v>
      </c>
      <c r="C372" t="s">
        <v>34</v>
      </c>
      <c r="D372" s="1">
        <v>28106</v>
      </c>
      <c r="E372" s="1">
        <v>292631</v>
      </c>
      <c r="F372" s="2">
        <v>54216</v>
      </c>
    </row>
    <row r="373" spans="1:6" x14ac:dyDescent="0.3">
      <c r="A373">
        <v>2024</v>
      </c>
      <c r="B373" t="s">
        <v>62</v>
      </c>
      <c r="C373" t="s">
        <v>35</v>
      </c>
      <c r="D373" s="1">
        <v>57935</v>
      </c>
      <c r="E373" s="1">
        <v>1179840</v>
      </c>
      <c r="F373" s="2">
        <v>57087</v>
      </c>
    </row>
    <row r="374" spans="1:6" x14ac:dyDescent="0.3">
      <c r="A374">
        <v>2024</v>
      </c>
      <c r="B374" t="s">
        <v>62</v>
      </c>
      <c r="C374" t="s">
        <v>36</v>
      </c>
      <c r="D374" s="1">
        <v>4907</v>
      </c>
      <c r="E374" s="1">
        <v>95079</v>
      </c>
      <c r="F374" s="2">
        <v>54510</v>
      </c>
    </row>
    <row r="375" spans="1:6" x14ac:dyDescent="0.3">
      <c r="A375">
        <v>2024</v>
      </c>
      <c r="B375" t="s">
        <v>62</v>
      </c>
      <c r="C375" t="s">
        <v>37</v>
      </c>
      <c r="D375" s="1">
        <v>15612</v>
      </c>
      <c r="E375" s="1">
        <v>231072</v>
      </c>
      <c r="F375" s="2">
        <v>50055</v>
      </c>
    </row>
    <row r="376" spans="1:6" x14ac:dyDescent="0.3">
      <c r="A376">
        <v>2024</v>
      </c>
      <c r="B376" t="s">
        <v>62</v>
      </c>
      <c r="C376" t="s">
        <v>38</v>
      </c>
      <c r="D376" s="1">
        <v>2934</v>
      </c>
      <c r="E376" s="1">
        <v>68990</v>
      </c>
      <c r="F376" s="2">
        <v>57054</v>
      </c>
    </row>
    <row r="377" spans="1:6" x14ac:dyDescent="0.3">
      <c r="A377">
        <v>2024</v>
      </c>
      <c r="B377" t="s">
        <v>62</v>
      </c>
      <c r="C377" t="s">
        <v>39</v>
      </c>
      <c r="D377" s="1">
        <v>21213</v>
      </c>
      <c r="E377" s="1">
        <v>421097</v>
      </c>
      <c r="F377" s="2">
        <v>56401</v>
      </c>
    </row>
    <row r="378" spans="1:6" x14ac:dyDescent="0.3">
      <c r="A378">
        <v>2024</v>
      </c>
      <c r="B378" t="s">
        <v>62</v>
      </c>
      <c r="C378" t="s">
        <v>40</v>
      </c>
      <c r="D378" s="1">
        <v>98681</v>
      </c>
      <c r="E378" s="1">
        <v>1646144</v>
      </c>
      <c r="F378" s="2">
        <v>51856</v>
      </c>
    </row>
    <row r="379" spans="1:6" x14ac:dyDescent="0.3">
      <c r="A379">
        <v>2024</v>
      </c>
      <c r="B379" t="s">
        <v>62</v>
      </c>
      <c r="C379" t="s">
        <v>41</v>
      </c>
      <c r="D379" s="1">
        <v>13463</v>
      </c>
      <c r="E379" s="1">
        <v>193157</v>
      </c>
      <c r="F379" s="2">
        <v>48260</v>
      </c>
    </row>
    <row r="380" spans="1:6" x14ac:dyDescent="0.3">
      <c r="A380">
        <v>2024</v>
      </c>
      <c r="B380" t="s">
        <v>62</v>
      </c>
      <c r="C380" t="s">
        <v>42</v>
      </c>
      <c r="D380" s="1">
        <v>2516</v>
      </c>
      <c r="E380" s="1">
        <v>58443</v>
      </c>
      <c r="F380" s="2">
        <v>52779</v>
      </c>
    </row>
    <row r="381" spans="1:6" x14ac:dyDescent="0.3">
      <c r="A381">
        <v>2024</v>
      </c>
      <c r="B381" t="s">
        <v>62</v>
      </c>
      <c r="C381" t="s">
        <v>43</v>
      </c>
      <c r="D381" s="1">
        <v>49705</v>
      </c>
      <c r="E381" s="1">
        <v>492598</v>
      </c>
      <c r="F381" s="2">
        <v>54119</v>
      </c>
    </row>
    <row r="382" spans="1:6" x14ac:dyDescent="0.3">
      <c r="A382">
        <v>2024</v>
      </c>
      <c r="B382" t="s">
        <v>62</v>
      </c>
      <c r="C382" t="s">
        <v>44</v>
      </c>
      <c r="D382" s="1">
        <v>74944</v>
      </c>
      <c r="E382" s="1">
        <v>468495</v>
      </c>
      <c r="F382" s="2">
        <v>55544</v>
      </c>
    </row>
    <row r="383" spans="1:6" x14ac:dyDescent="0.3">
      <c r="A383">
        <v>2024</v>
      </c>
      <c r="B383" t="s">
        <v>62</v>
      </c>
      <c r="C383" t="s">
        <v>45</v>
      </c>
      <c r="D383" s="1">
        <v>8500</v>
      </c>
      <c r="E383" s="1">
        <v>124604</v>
      </c>
      <c r="F383" s="2">
        <v>50597</v>
      </c>
    </row>
    <row r="384" spans="1:6" x14ac:dyDescent="0.3">
      <c r="A384">
        <v>2024</v>
      </c>
      <c r="B384" t="s">
        <v>62</v>
      </c>
      <c r="C384" t="s">
        <v>46</v>
      </c>
      <c r="D384" s="1">
        <v>31125</v>
      </c>
      <c r="E384" s="1">
        <v>427152</v>
      </c>
      <c r="F384" s="2">
        <v>52993</v>
      </c>
    </row>
    <row r="385" spans="1:6" x14ac:dyDescent="0.3">
      <c r="A385">
        <v>2024</v>
      </c>
      <c r="B385" t="s">
        <v>62</v>
      </c>
      <c r="C385" t="s">
        <v>47</v>
      </c>
      <c r="D385" s="1">
        <v>3485</v>
      </c>
      <c r="E385" s="1">
        <v>26942</v>
      </c>
      <c r="F385" s="2">
        <v>46334</v>
      </c>
    </row>
    <row r="386" spans="1:6" x14ac:dyDescent="0.3">
      <c r="A386">
        <v>2024</v>
      </c>
      <c r="B386" t="s">
        <v>54</v>
      </c>
      <c r="C386" t="s">
        <v>0</v>
      </c>
      <c r="D386" s="1">
        <v>11221</v>
      </c>
      <c r="E386" s="1">
        <v>178057</v>
      </c>
      <c r="F386" s="2">
        <v>18554</v>
      </c>
    </row>
    <row r="387" spans="1:6" x14ac:dyDescent="0.3">
      <c r="A387">
        <v>2024</v>
      </c>
      <c r="B387" t="s">
        <v>54</v>
      </c>
      <c r="C387" t="s">
        <v>1</v>
      </c>
      <c r="D387" s="1">
        <v>14444</v>
      </c>
      <c r="E387" s="1">
        <v>274985</v>
      </c>
      <c r="F387" s="2">
        <v>26810</v>
      </c>
    </row>
    <row r="388" spans="1:6" x14ac:dyDescent="0.3">
      <c r="A388">
        <v>2024</v>
      </c>
      <c r="B388" t="s">
        <v>54</v>
      </c>
      <c r="C388" t="s">
        <v>2</v>
      </c>
      <c r="D388" s="1">
        <v>7458</v>
      </c>
      <c r="E388" s="1">
        <v>106295</v>
      </c>
      <c r="F388" s="2">
        <v>18414</v>
      </c>
    </row>
    <row r="389" spans="1:6" x14ac:dyDescent="0.3">
      <c r="A389">
        <v>2024</v>
      </c>
      <c r="B389" t="s">
        <v>54</v>
      </c>
      <c r="C389" t="s">
        <v>3</v>
      </c>
      <c r="D389" s="1">
        <v>117833</v>
      </c>
      <c r="E389" s="1">
        <v>1482600</v>
      </c>
      <c r="F389" s="2">
        <v>36090</v>
      </c>
    </row>
    <row r="390" spans="1:6" x14ac:dyDescent="0.3">
      <c r="A390">
        <v>2024</v>
      </c>
      <c r="B390" t="s">
        <v>54</v>
      </c>
      <c r="C390" t="s">
        <v>4</v>
      </c>
      <c r="D390" s="1">
        <v>17650</v>
      </c>
      <c r="E390" s="1">
        <v>271680</v>
      </c>
      <c r="F390" s="2">
        <v>28424</v>
      </c>
    </row>
    <row r="391" spans="1:6" x14ac:dyDescent="0.3">
      <c r="A391">
        <v>2024</v>
      </c>
      <c r="B391" t="s">
        <v>54</v>
      </c>
      <c r="C391" t="s">
        <v>5</v>
      </c>
      <c r="D391" s="1">
        <v>10916</v>
      </c>
      <c r="E391" s="1">
        <v>117365</v>
      </c>
      <c r="F391" s="2">
        <v>26295</v>
      </c>
    </row>
    <row r="392" spans="1:6" x14ac:dyDescent="0.3">
      <c r="A392">
        <v>2024</v>
      </c>
      <c r="B392" t="s">
        <v>54</v>
      </c>
      <c r="C392" t="s">
        <v>6</v>
      </c>
      <c r="D392" s="1">
        <v>2698</v>
      </c>
      <c r="E392" s="1">
        <v>41103</v>
      </c>
      <c r="F392" s="2">
        <v>22228</v>
      </c>
    </row>
    <row r="393" spans="1:6" x14ac:dyDescent="0.3">
      <c r="A393">
        <v>2024</v>
      </c>
      <c r="B393" t="s">
        <v>54</v>
      </c>
      <c r="C393" t="s">
        <v>7</v>
      </c>
      <c r="D393" s="1">
        <v>59645</v>
      </c>
      <c r="E393" s="1">
        <v>1007574</v>
      </c>
      <c r="F393" s="2">
        <v>27709</v>
      </c>
    </row>
    <row r="394" spans="1:6" x14ac:dyDescent="0.3">
      <c r="A394">
        <v>2024</v>
      </c>
      <c r="B394" t="s">
        <v>54</v>
      </c>
      <c r="C394" t="s">
        <v>8</v>
      </c>
      <c r="D394" s="1">
        <v>26741</v>
      </c>
      <c r="E394" s="1">
        <v>414059</v>
      </c>
      <c r="F394" s="2">
        <v>22009</v>
      </c>
    </row>
    <row r="395" spans="1:6" x14ac:dyDescent="0.3">
      <c r="A395">
        <v>2024</v>
      </c>
      <c r="B395" t="s">
        <v>54</v>
      </c>
      <c r="C395" t="s">
        <v>9</v>
      </c>
      <c r="D395" s="1">
        <v>5242</v>
      </c>
      <c r="E395" s="1">
        <v>74574</v>
      </c>
      <c r="F395" s="2">
        <v>18637</v>
      </c>
    </row>
    <row r="396" spans="1:6" x14ac:dyDescent="0.3">
      <c r="A396">
        <v>2024</v>
      </c>
      <c r="B396" t="s">
        <v>54</v>
      </c>
      <c r="C396" t="s">
        <v>10</v>
      </c>
      <c r="D396" s="1">
        <v>32842</v>
      </c>
      <c r="E396" s="1">
        <v>462216</v>
      </c>
      <c r="F396" s="2">
        <v>25054</v>
      </c>
    </row>
    <row r="397" spans="1:6" x14ac:dyDescent="0.3">
      <c r="A397">
        <v>2024</v>
      </c>
      <c r="B397" t="s">
        <v>54</v>
      </c>
      <c r="C397" t="s">
        <v>11</v>
      </c>
      <c r="D397" s="1">
        <v>16068</v>
      </c>
      <c r="E397" s="1">
        <v>263892</v>
      </c>
      <c r="F397" s="2">
        <v>20493</v>
      </c>
    </row>
    <row r="398" spans="1:6" x14ac:dyDescent="0.3">
      <c r="A398">
        <v>2024</v>
      </c>
      <c r="B398" t="s">
        <v>54</v>
      </c>
      <c r="C398" t="s">
        <v>12</v>
      </c>
      <c r="D398" s="1">
        <v>8734</v>
      </c>
      <c r="E398" s="1">
        <v>118383</v>
      </c>
      <c r="F398" s="2">
        <v>18002</v>
      </c>
    </row>
    <row r="399" spans="1:6" x14ac:dyDescent="0.3">
      <c r="A399">
        <v>2024</v>
      </c>
      <c r="B399" t="s">
        <v>54</v>
      </c>
      <c r="C399" t="s">
        <v>13</v>
      </c>
      <c r="D399" s="1">
        <v>6792</v>
      </c>
      <c r="E399" s="1">
        <v>110526</v>
      </c>
      <c r="F399" s="2">
        <v>18088</v>
      </c>
    </row>
    <row r="400" spans="1:6" x14ac:dyDescent="0.3">
      <c r="A400">
        <v>2024</v>
      </c>
      <c r="B400" t="s">
        <v>54</v>
      </c>
      <c r="C400" t="s">
        <v>14</v>
      </c>
      <c r="D400" s="1">
        <v>10331</v>
      </c>
      <c r="E400" s="1">
        <v>165335</v>
      </c>
      <c r="F400" s="2">
        <v>19522</v>
      </c>
    </row>
    <row r="401" spans="1:6" x14ac:dyDescent="0.3">
      <c r="A401">
        <v>2024</v>
      </c>
      <c r="B401" t="s">
        <v>54</v>
      </c>
      <c r="C401" t="s">
        <v>15</v>
      </c>
      <c r="D401" s="1">
        <v>13351</v>
      </c>
      <c r="E401" s="1">
        <v>188383</v>
      </c>
      <c r="F401" s="2">
        <v>22216</v>
      </c>
    </row>
    <row r="402" spans="1:6" x14ac:dyDescent="0.3">
      <c r="A402">
        <v>2024</v>
      </c>
      <c r="B402" t="s">
        <v>54</v>
      </c>
      <c r="C402" t="s">
        <v>16</v>
      </c>
      <c r="D402" s="1">
        <v>5172</v>
      </c>
      <c r="E402" s="1">
        <v>51781</v>
      </c>
      <c r="F402" s="2">
        <v>25112</v>
      </c>
    </row>
    <row r="403" spans="1:6" x14ac:dyDescent="0.3">
      <c r="A403">
        <v>2024</v>
      </c>
      <c r="B403" t="s">
        <v>54</v>
      </c>
      <c r="C403" t="s">
        <v>17</v>
      </c>
      <c r="D403" s="1">
        <v>14823</v>
      </c>
      <c r="E403" s="1">
        <v>210848</v>
      </c>
      <c r="F403" s="2">
        <v>26383</v>
      </c>
    </row>
    <row r="404" spans="1:6" x14ac:dyDescent="0.3">
      <c r="A404">
        <v>2024</v>
      </c>
      <c r="B404" t="s">
        <v>54</v>
      </c>
      <c r="C404" t="s">
        <v>18</v>
      </c>
      <c r="D404" s="1">
        <v>20158</v>
      </c>
      <c r="E404" s="1">
        <v>262049</v>
      </c>
      <c r="F404" s="2">
        <v>30457</v>
      </c>
    </row>
    <row r="405" spans="1:6" x14ac:dyDescent="0.3">
      <c r="A405">
        <v>2024</v>
      </c>
      <c r="B405" t="s">
        <v>54</v>
      </c>
      <c r="C405" t="s">
        <v>19</v>
      </c>
      <c r="D405" s="1">
        <v>23032</v>
      </c>
      <c r="E405" s="1">
        <v>323435</v>
      </c>
      <c r="F405" s="2">
        <v>22254</v>
      </c>
    </row>
    <row r="406" spans="1:6" x14ac:dyDescent="0.3">
      <c r="A406">
        <v>2024</v>
      </c>
      <c r="B406" t="s">
        <v>54</v>
      </c>
      <c r="C406" t="s">
        <v>20</v>
      </c>
      <c r="D406" s="1">
        <v>15355</v>
      </c>
      <c r="E406" s="1">
        <v>204519</v>
      </c>
      <c r="F406" s="2">
        <v>24167</v>
      </c>
    </row>
    <row r="407" spans="1:6" x14ac:dyDescent="0.3">
      <c r="A407">
        <v>2024</v>
      </c>
      <c r="B407" t="s">
        <v>54</v>
      </c>
      <c r="C407" t="s">
        <v>21</v>
      </c>
      <c r="D407" s="1">
        <v>6644</v>
      </c>
      <c r="E407" s="1">
        <v>118107</v>
      </c>
      <c r="F407" s="2">
        <v>18380</v>
      </c>
    </row>
    <row r="408" spans="1:6" x14ac:dyDescent="0.3">
      <c r="A408">
        <v>2024</v>
      </c>
      <c r="B408" t="s">
        <v>54</v>
      </c>
      <c r="C408" t="s">
        <v>22</v>
      </c>
      <c r="D408" s="1">
        <v>15398</v>
      </c>
      <c r="E408" s="1">
        <v>253244</v>
      </c>
      <c r="F408" s="2">
        <v>22154</v>
      </c>
    </row>
    <row r="409" spans="1:6" x14ac:dyDescent="0.3">
      <c r="A409">
        <v>2024</v>
      </c>
      <c r="B409" t="s">
        <v>54</v>
      </c>
      <c r="C409" t="s">
        <v>23</v>
      </c>
      <c r="D409" s="1">
        <v>5182</v>
      </c>
      <c r="E409" s="1">
        <v>58811</v>
      </c>
      <c r="F409" s="2">
        <v>21078</v>
      </c>
    </row>
    <row r="410" spans="1:6" x14ac:dyDescent="0.3">
      <c r="A410">
        <v>2024</v>
      </c>
      <c r="B410" t="s">
        <v>54</v>
      </c>
      <c r="C410" t="s">
        <v>24</v>
      </c>
      <c r="D410" s="1">
        <v>5552</v>
      </c>
      <c r="E410" s="1">
        <v>79529</v>
      </c>
      <c r="F410" s="2">
        <v>18131</v>
      </c>
    </row>
    <row r="411" spans="1:6" x14ac:dyDescent="0.3">
      <c r="A411">
        <v>2024</v>
      </c>
      <c r="B411" t="s">
        <v>54</v>
      </c>
      <c r="C411" t="s">
        <v>25</v>
      </c>
      <c r="D411" s="1">
        <v>8698</v>
      </c>
      <c r="E411" s="1">
        <v>255447</v>
      </c>
      <c r="F411" s="2">
        <v>34061</v>
      </c>
    </row>
    <row r="412" spans="1:6" x14ac:dyDescent="0.3">
      <c r="A412">
        <v>2024</v>
      </c>
      <c r="B412" t="s">
        <v>54</v>
      </c>
      <c r="C412" t="s">
        <v>26</v>
      </c>
      <c r="D412" s="1">
        <v>4677</v>
      </c>
      <c r="E412" s="1">
        <v>57132</v>
      </c>
      <c r="F412" s="2">
        <v>24729</v>
      </c>
    </row>
    <row r="413" spans="1:6" x14ac:dyDescent="0.3">
      <c r="A413">
        <v>2024</v>
      </c>
      <c r="B413" t="s">
        <v>54</v>
      </c>
      <c r="C413" t="s">
        <v>27</v>
      </c>
      <c r="D413" s="1">
        <v>24584</v>
      </c>
      <c r="E413" s="1">
        <v>281546</v>
      </c>
      <c r="F413" s="2">
        <v>28639</v>
      </c>
    </row>
    <row r="414" spans="1:6" x14ac:dyDescent="0.3">
      <c r="A414">
        <v>2024</v>
      </c>
      <c r="B414" t="s">
        <v>54</v>
      </c>
      <c r="C414" t="s">
        <v>28</v>
      </c>
      <c r="D414" s="1">
        <v>5276</v>
      </c>
      <c r="E414" s="1">
        <v>78539</v>
      </c>
      <c r="F414" s="2">
        <v>19988</v>
      </c>
    </row>
    <row r="415" spans="1:6" x14ac:dyDescent="0.3">
      <c r="A415">
        <v>2024</v>
      </c>
      <c r="B415" t="s">
        <v>54</v>
      </c>
      <c r="C415" t="s">
        <v>29</v>
      </c>
      <c r="D415" s="1">
        <v>64959</v>
      </c>
      <c r="E415" s="1">
        <v>632760</v>
      </c>
      <c r="F415" s="2">
        <v>36986</v>
      </c>
    </row>
    <row r="416" spans="1:6" x14ac:dyDescent="0.3">
      <c r="A416">
        <v>2024</v>
      </c>
      <c r="B416" t="s">
        <v>54</v>
      </c>
      <c r="C416" t="s">
        <v>30</v>
      </c>
      <c r="D416" s="1">
        <v>27015</v>
      </c>
      <c r="E416" s="1">
        <v>420420</v>
      </c>
      <c r="F416" s="2">
        <v>21462</v>
      </c>
    </row>
    <row r="417" spans="1:6" x14ac:dyDescent="0.3">
      <c r="A417">
        <v>2024</v>
      </c>
      <c r="B417" t="s">
        <v>54</v>
      </c>
      <c r="C417" t="s">
        <v>31</v>
      </c>
      <c r="D417" s="1">
        <v>2621</v>
      </c>
      <c r="E417" s="1">
        <v>34228</v>
      </c>
      <c r="F417" s="2">
        <v>19193</v>
      </c>
    </row>
    <row r="418" spans="1:6" x14ac:dyDescent="0.3">
      <c r="A418">
        <v>2024</v>
      </c>
      <c r="B418" t="s">
        <v>54</v>
      </c>
      <c r="C418" t="s">
        <v>32</v>
      </c>
      <c r="D418" s="1">
        <v>29197</v>
      </c>
      <c r="E418" s="1">
        <v>466069</v>
      </c>
      <c r="F418" s="2">
        <v>21027</v>
      </c>
    </row>
    <row r="419" spans="1:6" x14ac:dyDescent="0.3">
      <c r="A419">
        <v>2024</v>
      </c>
      <c r="B419" t="s">
        <v>54</v>
      </c>
      <c r="C419" t="s">
        <v>33</v>
      </c>
      <c r="D419" s="1">
        <v>9364</v>
      </c>
      <c r="E419" s="1">
        <v>156230</v>
      </c>
      <c r="F419" s="2">
        <v>19310</v>
      </c>
    </row>
    <row r="420" spans="1:6" x14ac:dyDescent="0.3">
      <c r="A420">
        <v>2024</v>
      </c>
      <c r="B420" t="s">
        <v>54</v>
      </c>
      <c r="C420" t="s">
        <v>34</v>
      </c>
      <c r="D420" s="1">
        <v>13993</v>
      </c>
      <c r="E420" s="1">
        <v>161570</v>
      </c>
      <c r="F420" s="2">
        <v>24338</v>
      </c>
    </row>
    <row r="421" spans="1:6" x14ac:dyDescent="0.3">
      <c r="A421">
        <v>2024</v>
      </c>
      <c r="B421" t="s">
        <v>54</v>
      </c>
      <c r="C421" t="s">
        <v>35</v>
      </c>
      <c r="D421" s="1">
        <v>33532</v>
      </c>
      <c r="E421" s="1">
        <v>424092</v>
      </c>
      <c r="F421" s="2">
        <v>22945</v>
      </c>
    </row>
    <row r="422" spans="1:6" x14ac:dyDescent="0.3">
      <c r="A422">
        <v>2024</v>
      </c>
      <c r="B422" t="s">
        <v>54</v>
      </c>
      <c r="C422" t="s">
        <v>36</v>
      </c>
      <c r="D422" s="1">
        <v>3890</v>
      </c>
      <c r="E422" s="1">
        <v>44621</v>
      </c>
      <c r="F422" s="2">
        <v>24733</v>
      </c>
    </row>
    <row r="423" spans="1:6" x14ac:dyDescent="0.3">
      <c r="A423">
        <v>2024</v>
      </c>
      <c r="B423" t="s">
        <v>54</v>
      </c>
      <c r="C423" t="s">
        <v>37</v>
      </c>
      <c r="D423" s="1">
        <v>13676</v>
      </c>
      <c r="E423" s="1">
        <v>226959</v>
      </c>
      <c r="F423" s="2">
        <v>19677</v>
      </c>
    </row>
    <row r="424" spans="1:6" x14ac:dyDescent="0.3">
      <c r="A424">
        <v>2024</v>
      </c>
      <c r="B424" t="s">
        <v>54</v>
      </c>
      <c r="C424" t="s">
        <v>38</v>
      </c>
      <c r="D424" s="1">
        <v>3184</v>
      </c>
      <c r="E424" s="1">
        <v>41000</v>
      </c>
      <c r="F424" s="2">
        <v>18829</v>
      </c>
    </row>
    <row r="425" spans="1:6" x14ac:dyDescent="0.3">
      <c r="A425">
        <v>2024</v>
      </c>
      <c r="B425" t="s">
        <v>54</v>
      </c>
      <c r="C425" t="s">
        <v>39</v>
      </c>
      <c r="D425" s="1">
        <v>17443</v>
      </c>
      <c r="E425" s="1">
        <v>293033</v>
      </c>
      <c r="F425" s="2">
        <v>23771</v>
      </c>
    </row>
    <row r="426" spans="1:6" x14ac:dyDescent="0.3">
      <c r="A426">
        <v>2024</v>
      </c>
      <c r="B426" t="s">
        <v>54</v>
      </c>
      <c r="C426" t="s">
        <v>40</v>
      </c>
      <c r="D426" s="1">
        <v>66777</v>
      </c>
      <c r="E426" s="1">
        <v>1178456</v>
      </c>
      <c r="F426" s="2">
        <v>23001</v>
      </c>
    </row>
    <row r="427" spans="1:6" x14ac:dyDescent="0.3">
      <c r="A427">
        <v>2024</v>
      </c>
      <c r="B427" t="s">
        <v>54</v>
      </c>
      <c r="C427" t="s">
        <v>41</v>
      </c>
      <c r="D427" s="1">
        <v>7766</v>
      </c>
      <c r="E427" s="1">
        <v>133375</v>
      </c>
      <c r="F427" s="2">
        <v>21580</v>
      </c>
    </row>
    <row r="428" spans="1:6" x14ac:dyDescent="0.3">
      <c r="A428">
        <v>2024</v>
      </c>
      <c r="B428" t="s">
        <v>54</v>
      </c>
      <c r="C428" t="s">
        <v>42</v>
      </c>
      <c r="D428" s="1">
        <v>2220</v>
      </c>
      <c r="E428" s="1">
        <v>25985</v>
      </c>
      <c r="F428" s="2">
        <v>26068</v>
      </c>
    </row>
    <row r="429" spans="1:6" x14ac:dyDescent="0.3">
      <c r="A429">
        <v>2024</v>
      </c>
      <c r="B429" t="s">
        <v>54</v>
      </c>
      <c r="C429" t="s">
        <v>43</v>
      </c>
      <c r="D429" s="1">
        <v>20954</v>
      </c>
      <c r="E429" s="1">
        <v>322216</v>
      </c>
      <c r="F429" s="2">
        <v>22634</v>
      </c>
    </row>
    <row r="430" spans="1:6" x14ac:dyDescent="0.3">
      <c r="A430">
        <v>2024</v>
      </c>
      <c r="B430" t="s">
        <v>54</v>
      </c>
      <c r="C430" t="s">
        <v>44</v>
      </c>
      <c r="D430" s="1">
        <v>20710</v>
      </c>
      <c r="E430" s="1">
        <v>255412</v>
      </c>
      <c r="F430" s="2">
        <v>26657</v>
      </c>
    </row>
    <row r="431" spans="1:6" x14ac:dyDescent="0.3">
      <c r="A431">
        <v>2024</v>
      </c>
      <c r="B431" t="s">
        <v>54</v>
      </c>
      <c r="C431" t="s">
        <v>45</v>
      </c>
      <c r="D431" s="1">
        <v>4602</v>
      </c>
      <c r="E431" s="1">
        <v>61253</v>
      </c>
      <c r="F431" s="2">
        <v>18945</v>
      </c>
    </row>
    <row r="432" spans="1:6" x14ac:dyDescent="0.3">
      <c r="A432">
        <v>2024</v>
      </c>
      <c r="B432" t="s">
        <v>54</v>
      </c>
      <c r="C432" t="s">
        <v>46</v>
      </c>
      <c r="D432" s="1">
        <v>16783</v>
      </c>
      <c r="E432" s="1">
        <v>227495</v>
      </c>
      <c r="F432" s="2">
        <v>19473</v>
      </c>
    </row>
    <row r="433" spans="1:6" x14ac:dyDescent="0.3">
      <c r="A433">
        <v>2024</v>
      </c>
      <c r="B433" t="s">
        <v>54</v>
      </c>
      <c r="C433" t="s">
        <v>47</v>
      </c>
      <c r="D433" s="1">
        <v>2418</v>
      </c>
      <c r="E433" s="1">
        <v>32312</v>
      </c>
      <c r="F433" s="2">
        <v>23041</v>
      </c>
    </row>
    <row r="434" spans="1:6" x14ac:dyDescent="0.3">
      <c r="A434">
        <v>2024</v>
      </c>
      <c r="B434" t="s">
        <v>63</v>
      </c>
      <c r="C434" t="s">
        <v>0</v>
      </c>
      <c r="D434" s="1">
        <v>9048</v>
      </c>
      <c r="E434" s="1">
        <v>42367</v>
      </c>
      <c r="F434" s="2">
        <v>41437</v>
      </c>
    </row>
    <row r="435" spans="1:6" x14ac:dyDescent="0.3">
      <c r="A435">
        <v>2024</v>
      </c>
      <c r="B435" t="s">
        <v>63</v>
      </c>
      <c r="C435" t="s">
        <v>1</v>
      </c>
      <c r="D435" s="1">
        <v>10878</v>
      </c>
      <c r="E435" s="1">
        <v>69183</v>
      </c>
      <c r="F435" s="2">
        <v>42482</v>
      </c>
    </row>
    <row r="436" spans="1:6" x14ac:dyDescent="0.3">
      <c r="A436">
        <v>2024</v>
      </c>
      <c r="B436" t="s">
        <v>63</v>
      </c>
      <c r="C436" t="s">
        <v>2</v>
      </c>
      <c r="D436" s="1">
        <v>5464</v>
      </c>
      <c r="E436" s="1">
        <v>23724</v>
      </c>
      <c r="F436" s="2">
        <v>38111</v>
      </c>
    </row>
    <row r="437" spans="1:6" x14ac:dyDescent="0.3">
      <c r="A437">
        <v>2024</v>
      </c>
      <c r="B437" t="s">
        <v>63</v>
      </c>
      <c r="C437" t="s">
        <v>3</v>
      </c>
      <c r="D437" s="1">
        <v>97116</v>
      </c>
      <c r="E437" s="1">
        <v>452175</v>
      </c>
      <c r="F437" s="2">
        <v>47080</v>
      </c>
    </row>
    <row r="438" spans="1:6" x14ac:dyDescent="0.3">
      <c r="A438">
        <v>2024</v>
      </c>
      <c r="B438" t="s">
        <v>63</v>
      </c>
      <c r="C438" t="s">
        <v>4</v>
      </c>
      <c r="D438" s="1">
        <v>16860</v>
      </c>
      <c r="E438" s="1">
        <v>76766</v>
      </c>
      <c r="F438" s="2">
        <v>45642</v>
      </c>
    </row>
    <row r="439" spans="1:6" x14ac:dyDescent="0.3">
      <c r="A439">
        <v>2024</v>
      </c>
      <c r="B439" t="s">
        <v>63</v>
      </c>
      <c r="C439" t="s">
        <v>5</v>
      </c>
      <c r="D439" s="1">
        <v>12480</v>
      </c>
      <c r="E439" s="1">
        <v>48120</v>
      </c>
      <c r="F439" s="2">
        <v>42136</v>
      </c>
    </row>
    <row r="440" spans="1:6" x14ac:dyDescent="0.3">
      <c r="A440">
        <v>2024</v>
      </c>
      <c r="B440" t="s">
        <v>63</v>
      </c>
      <c r="C440" t="s">
        <v>6</v>
      </c>
      <c r="D440" s="1">
        <v>2088</v>
      </c>
      <c r="E440" s="1">
        <v>10706</v>
      </c>
      <c r="F440" s="2">
        <v>38135</v>
      </c>
    </row>
    <row r="441" spans="1:6" x14ac:dyDescent="0.3">
      <c r="A441">
        <v>2024</v>
      </c>
      <c r="B441" t="s">
        <v>63</v>
      </c>
      <c r="C441" t="s">
        <v>7</v>
      </c>
      <c r="D441" s="1">
        <v>54871</v>
      </c>
      <c r="E441" s="1">
        <v>254577</v>
      </c>
      <c r="F441" s="2">
        <v>41154</v>
      </c>
    </row>
    <row r="442" spans="1:6" x14ac:dyDescent="0.3">
      <c r="A442">
        <v>2024</v>
      </c>
      <c r="B442" t="s">
        <v>63</v>
      </c>
      <c r="C442" t="s">
        <v>8</v>
      </c>
      <c r="D442" s="1">
        <v>19294</v>
      </c>
      <c r="E442" s="1">
        <v>101509</v>
      </c>
      <c r="F442" s="2">
        <v>41319</v>
      </c>
    </row>
    <row r="443" spans="1:6" x14ac:dyDescent="0.3">
      <c r="A443">
        <v>2024</v>
      </c>
      <c r="B443" t="s">
        <v>63</v>
      </c>
      <c r="C443" t="s">
        <v>9</v>
      </c>
      <c r="D443" s="1">
        <v>4119</v>
      </c>
      <c r="E443" s="1">
        <v>18237</v>
      </c>
      <c r="F443" s="2">
        <v>35029</v>
      </c>
    </row>
    <row r="444" spans="1:6" x14ac:dyDescent="0.3">
      <c r="A444">
        <v>2024</v>
      </c>
      <c r="B444" t="s">
        <v>63</v>
      </c>
      <c r="C444" t="s">
        <v>10</v>
      </c>
      <c r="D444" s="1">
        <v>35477</v>
      </c>
      <c r="E444" s="1">
        <v>184359</v>
      </c>
      <c r="F444" s="2">
        <v>48230</v>
      </c>
    </row>
    <row r="445" spans="1:6" x14ac:dyDescent="0.3">
      <c r="A445">
        <v>2024</v>
      </c>
      <c r="B445" t="s">
        <v>63</v>
      </c>
      <c r="C445" t="s">
        <v>11</v>
      </c>
      <c r="D445" s="1">
        <v>13233</v>
      </c>
      <c r="E445" s="1">
        <v>80627</v>
      </c>
      <c r="F445" s="2">
        <v>36636</v>
      </c>
    </row>
    <row r="446" spans="1:6" x14ac:dyDescent="0.3">
      <c r="A446">
        <v>2024</v>
      </c>
      <c r="B446" t="s">
        <v>63</v>
      </c>
      <c r="C446" t="s">
        <v>12</v>
      </c>
      <c r="D446" s="1">
        <v>7585</v>
      </c>
      <c r="E446" s="1">
        <v>37229</v>
      </c>
      <c r="F446" s="2">
        <v>40163</v>
      </c>
    </row>
    <row r="447" spans="1:6" x14ac:dyDescent="0.3">
      <c r="A447">
        <v>2024</v>
      </c>
      <c r="B447" t="s">
        <v>63</v>
      </c>
      <c r="C447" t="s">
        <v>13</v>
      </c>
      <c r="D447" s="1">
        <v>5873</v>
      </c>
      <c r="E447" s="1">
        <v>31183</v>
      </c>
      <c r="F447" s="2">
        <v>38965</v>
      </c>
    </row>
    <row r="448" spans="1:6" x14ac:dyDescent="0.3">
      <c r="A448">
        <v>2024</v>
      </c>
      <c r="B448" t="s">
        <v>63</v>
      </c>
      <c r="C448" t="s">
        <v>14</v>
      </c>
      <c r="D448" s="1">
        <v>9084</v>
      </c>
      <c r="E448" s="1">
        <v>40228</v>
      </c>
      <c r="F448" s="2">
        <v>38895</v>
      </c>
    </row>
    <row r="449" spans="1:6" x14ac:dyDescent="0.3">
      <c r="A449">
        <v>2024</v>
      </c>
      <c r="B449" t="s">
        <v>63</v>
      </c>
      <c r="C449" t="s">
        <v>15</v>
      </c>
      <c r="D449" s="1">
        <v>9437</v>
      </c>
      <c r="E449" s="1">
        <v>41500</v>
      </c>
      <c r="F449" s="2">
        <v>41226</v>
      </c>
    </row>
    <row r="450" spans="1:6" x14ac:dyDescent="0.3">
      <c r="A450">
        <v>2024</v>
      </c>
      <c r="B450" t="s">
        <v>63</v>
      </c>
      <c r="C450" t="s">
        <v>16</v>
      </c>
      <c r="D450" s="1">
        <v>3830</v>
      </c>
      <c r="E450" s="1">
        <v>16120</v>
      </c>
      <c r="F450" s="2">
        <v>39497</v>
      </c>
    </row>
    <row r="451" spans="1:6" x14ac:dyDescent="0.3">
      <c r="A451">
        <v>2024</v>
      </c>
      <c r="B451" t="s">
        <v>63</v>
      </c>
      <c r="C451" t="s">
        <v>17</v>
      </c>
      <c r="D451" s="1">
        <v>19028</v>
      </c>
      <c r="E451" s="1">
        <v>78236</v>
      </c>
      <c r="F451" s="2">
        <v>48238</v>
      </c>
    </row>
    <row r="452" spans="1:6" x14ac:dyDescent="0.3">
      <c r="A452">
        <v>2024</v>
      </c>
      <c r="B452" t="s">
        <v>63</v>
      </c>
      <c r="C452" t="s">
        <v>18</v>
      </c>
      <c r="D452" s="1">
        <v>21927</v>
      </c>
      <c r="E452" s="1">
        <v>98276</v>
      </c>
      <c r="F452" s="2">
        <v>46345</v>
      </c>
    </row>
    <row r="453" spans="1:6" x14ac:dyDescent="0.3">
      <c r="A453">
        <v>2024</v>
      </c>
      <c r="B453" t="s">
        <v>63</v>
      </c>
      <c r="C453" t="s">
        <v>19</v>
      </c>
      <c r="D453" s="1">
        <v>25486</v>
      </c>
      <c r="E453" s="1">
        <v>114074</v>
      </c>
      <c r="F453" s="2">
        <v>39650</v>
      </c>
    </row>
    <row r="454" spans="1:6" x14ac:dyDescent="0.3">
      <c r="A454">
        <v>2024</v>
      </c>
      <c r="B454" t="s">
        <v>63</v>
      </c>
      <c r="C454" t="s">
        <v>20</v>
      </c>
      <c r="D454" s="1">
        <v>17118</v>
      </c>
      <c r="E454" s="1">
        <v>77083</v>
      </c>
      <c r="F454" s="2">
        <v>39485</v>
      </c>
    </row>
    <row r="455" spans="1:6" x14ac:dyDescent="0.3">
      <c r="A455">
        <v>2024</v>
      </c>
      <c r="B455" t="s">
        <v>63</v>
      </c>
      <c r="C455" t="s">
        <v>21</v>
      </c>
      <c r="D455" s="1">
        <v>4625</v>
      </c>
      <c r="E455" s="1">
        <v>19993</v>
      </c>
      <c r="F455" s="2">
        <v>38520</v>
      </c>
    </row>
    <row r="456" spans="1:6" x14ac:dyDescent="0.3">
      <c r="A456">
        <v>2024</v>
      </c>
      <c r="B456" t="s">
        <v>63</v>
      </c>
      <c r="C456" t="s">
        <v>22</v>
      </c>
      <c r="D456" s="1">
        <v>13399</v>
      </c>
      <c r="E456" s="1">
        <v>68557</v>
      </c>
      <c r="F456" s="2">
        <v>38496</v>
      </c>
    </row>
    <row r="457" spans="1:6" x14ac:dyDescent="0.3">
      <c r="A457">
        <v>2024</v>
      </c>
      <c r="B457" t="s">
        <v>63</v>
      </c>
      <c r="C457" t="s">
        <v>23</v>
      </c>
      <c r="D457" s="1">
        <v>4199</v>
      </c>
      <c r="E457" s="1">
        <v>17236</v>
      </c>
      <c r="F457" s="2">
        <v>34349</v>
      </c>
    </row>
    <row r="458" spans="1:6" x14ac:dyDescent="0.3">
      <c r="A458">
        <v>2024</v>
      </c>
      <c r="B458" t="s">
        <v>63</v>
      </c>
      <c r="C458" t="s">
        <v>24</v>
      </c>
      <c r="D458" s="1">
        <v>4602</v>
      </c>
      <c r="E458" s="1">
        <v>24061</v>
      </c>
      <c r="F458" s="2">
        <v>36266</v>
      </c>
    </row>
    <row r="459" spans="1:6" x14ac:dyDescent="0.3">
      <c r="A459">
        <v>2024</v>
      </c>
      <c r="B459" t="s">
        <v>63</v>
      </c>
      <c r="C459" t="s">
        <v>25</v>
      </c>
      <c r="D459" s="1">
        <v>5067</v>
      </c>
      <c r="E459" s="1">
        <v>30593</v>
      </c>
      <c r="F459" s="2">
        <v>41698</v>
      </c>
    </row>
    <row r="460" spans="1:6" x14ac:dyDescent="0.3">
      <c r="A460">
        <v>2024</v>
      </c>
      <c r="B460" t="s">
        <v>63</v>
      </c>
      <c r="C460" t="s">
        <v>26</v>
      </c>
      <c r="D460" s="1">
        <v>4109</v>
      </c>
      <c r="E460" s="1">
        <v>18869</v>
      </c>
      <c r="F460" s="2">
        <v>43107</v>
      </c>
    </row>
    <row r="461" spans="1:6" x14ac:dyDescent="0.3">
      <c r="A461">
        <v>2024</v>
      </c>
      <c r="B461" t="s">
        <v>63</v>
      </c>
      <c r="C461" t="s">
        <v>27</v>
      </c>
      <c r="D461" s="1">
        <v>24307</v>
      </c>
      <c r="E461" s="1">
        <v>114130</v>
      </c>
      <c r="F461" s="2">
        <v>41197</v>
      </c>
    </row>
    <row r="462" spans="1:6" x14ac:dyDescent="0.3">
      <c r="A462">
        <v>2024</v>
      </c>
      <c r="B462" t="s">
        <v>63</v>
      </c>
      <c r="C462" t="s">
        <v>28</v>
      </c>
      <c r="D462" s="1">
        <v>4261</v>
      </c>
      <c r="E462" s="1">
        <v>18424</v>
      </c>
      <c r="F462" s="2">
        <v>38699</v>
      </c>
    </row>
    <row r="463" spans="1:6" x14ac:dyDescent="0.3">
      <c r="A463">
        <v>2024</v>
      </c>
      <c r="B463" t="s">
        <v>63</v>
      </c>
      <c r="C463" t="s">
        <v>29</v>
      </c>
      <c r="D463" s="1">
        <v>70935</v>
      </c>
      <c r="E463" s="1">
        <v>307026</v>
      </c>
      <c r="F463" s="2">
        <v>49001</v>
      </c>
    </row>
    <row r="464" spans="1:6" x14ac:dyDescent="0.3">
      <c r="A464">
        <v>2024</v>
      </c>
      <c r="B464" t="s">
        <v>63</v>
      </c>
      <c r="C464" t="s">
        <v>30</v>
      </c>
      <c r="D464" s="1">
        <v>26011</v>
      </c>
      <c r="E464" s="1">
        <v>107703</v>
      </c>
      <c r="F464" s="2">
        <v>39794</v>
      </c>
    </row>
    <row r="465" spans="1:6" x14ac:dyDescent="0.3">
      <c r="A465">
        <v>2024</v>
      </c>
      <c r="B465" t="s">
        <v>63</v>
      </c>
      <c r="C465" t="s">
        <v>31</v>
      </c>
      <c r="D465" s="1">
        <v>2141</v>
      </c>
      <c r="E465" s="1">
        <v>10645</v>
      </c>
      <c r="F465" s="2">
        <v>40484</v>
      </c>
    </row>
    <row r="466" spans="1:6" x14ac:dyDescent="0.3">
      <c r="A466">
        <v>2024</v>
      </c>
      <c r="B466" t="s">
        <v>63</v>
      </c>
      <c r="C466" t="s">
        <v>32</v>
      </c>
      <c r="D466" s="1">
        <v>23929</v>
      </c>
      <c r="E466" s="1">
        <v>138448</v>
      </c>
      <c r="F466" s="2">
        <v>38332</v>
      </c>
    </row>
    <row r="467" spans="1:6" x14ac:dyDescent="0.3">
      <c r="A467">
        <v>2024</v>
      </c>
      <c r="B467" t="s">
        <v>63</v>
      </c>
      <c r="C467" t="s">
        <v>33</v>
      </c>
      <c r="D467" s="1">
        <v>6600</v>
      </c>
      <c r="E467" s="1">
        <v>34047</v>
      </c>
      <c r="F467" s="2">
        <v>37686</v>
      </c>
    </row>
    <row r="468" spans="1:6" x14ac:dyDescent="0.3">
      <c r="A468">
        <v>2024</v>
      </c>
      <c r="B468" t="s">
        <v>63</v>
      </c>
      <c r="C468" t="s">
        <v>34</v>
      </c>
      <c r="D468" s="1">
        <v>14853</v>
      </c>
      <c r="E468" s="1">
        <v>60924</v>
      </c>
      <c r="F468" s="2">
        <v>41296</v>
      </c>
    </row>
    <row r="469" spans="1:6" x14ac:dyDescent="0.3">
      <c r="A469">
        <v>2024</v>
      </c>
      <c r="B469" t="s">
        <v>63</v>
      </c>
      <c r="C469" t="s">
        <v>35</v>
      </c>
      <c r="D469" s="1">
        <v>33590</v>
      </c>
      <c r="E469" s="1">
        <v>169772</v>
      </c>
      <c r="F469" s="2">
        <v>39396</v>
      </c>
    </row>
    <row r="470" spans="1:6" x14ac:dyDescent="0.3">
      <c r="A470">
        <v>2024</v>
      </c>
      <c r="B470" t="s">
        <v>63</v>
      </c>
      <c r="C470" t="s">
        <v>36</v>
      </c>
      <c r="D470" s="1">
        <v>3576</v>
      </c>
      <c r="E470" s="1">
        <v>15156</v>
      </c>
      <c r="F470" s="2">
        <v>38763</v>
      </c>
    </row>
    <row r="471" spans="1:6" x14ac:dyDescent="0.3">
      <c r="A471">
        <v>2024</v>
      </c>
      <c r="B471" t="s">
        <v>63</v>
      </c>
      <c r="C471" t="s">
        <v>37</v>
      </c>
      <c r="D471" s="1">
        <v>10267</v>
      </c>
      <c r="E471" s="1">
        <v>49710</v>
      </c>
      <c r="F471" s="2">
        <v>38110</v>
      </c>
    </row>
    <row r="472" spans="1:6" x14ac:dyDescent="0.3">
      <c r="A472">
        <v>2024</v>
      </c>
      <c r="B472" t="s">
        <v>63</v>
      </c>
      <c r="C472" t="s">
        <v>38</v>
      </c>
      <c r="D472" s="1">
        <v>2313</v>
      </c>
      <c r="E472" s="1">
        <v>11077</v>
      </c>
      <c r="F472" s="2">
        <v>38165</v>
      </c>
    </row>
    <row r="473" spans="1:6" x14ac:dyDescent="0.3">
      <c r="A473">
        <v>2024</v>
      </c>
      <c r="B473" t="s">
        <v>63</v>
      </c>
      <c r="C473" t="s">
        <v>39</v>
      </c>
      <c r="D473" s="1">
        <v>12651</v>
      </c>
      <c r="E473" s="1">
        <v>70977</v>
      </c>
      <c r="F473" s="2">
        <v>40323</v>
      </c>
    </row>
    <row r="474" spans="1:6" x14ac:dyDescent="0.3">
      <c r="A474">
        <v>2024</v>
      </c>
      <c r="B474" t="s">
        <v>63</v>
      </c>
      <c r="C474" t="s">
        <v>40</v>
      </c>
      <c r="D474" s="1">
        <v>57936</v>
      </c>
      <c r="E474" s="1">
        <v>310244</v>
      </c>
      <c r="F474" s="2">
        <v>44055</v>
      </c>
    </row>
    <row r="475" spans="1:6" x14ac:dyDescent="0.3">
      <c r="A475">
        <v>2024</v>
      </c>
      <c r="B475" t="s">
        <v>63</v>
      </c>
      <c r="C475" t="s">
        <v>41</v>
      </c>
      <c r="D475" s="1">
        <v>6849</v>
      </c>
      <c r="E475" s="1">
        <v>35002</v>
      </c>
      <c r="F475" s="2">
        <v>39528</v>
      </c>
    </row>
    <row r="476" spans="1:6" x14ac:dyDescent="0.3">
      <c r="A476">
        <v>2024</v>
      </c>
      <c r="B476" t="s">
        <v>63</v>
      </c>
      <c r="C476" t="s">
        <v>42</v>
      </c>
      <c r="D476" s="1">
        <v>1995</v>
      </c>
      <c r="E476" s="1">
        <v>7681</v>
      </c>
      <c r="F476" s="2">
        <v>41304</v>
      </c>
    </row>
    <row r="477" spans="1:6" x14ac:dyDescent="0.3">
      <c r="A477">
        <v>2024</v>
      </c>
      <c r="B477" t="s">
        <v>63</v>
      </c>
      <c r="C477" t="s">
        <v>43</v>
      </c>
      <c r="D477" s="1">
        <v>29516</v>
      </c>
      <c r="E477" s="1">
        <v>121622</v>
      </c>
      <c r="F477" s="2">
        <v>50744</v>
      </c>
    </row>
    <row r="478" spans="1:6" x14ac:dyDescent="0.3">
      <c r="A478">
        <v>2024</v>
      </c>
      <c r="B478" t="s">
        <v>63</v>
      </c>
      <c r="C478" t="s">
        <v>44</v>
      </c>
      <c r="D478" s="1">
        <v>20259</v>
      </c>
      <c r="E478" s="1">
        <v>89105</v>
      </c>
      <c r="F478" s="2">
        <v>46691</v>
      </c>
    </row>
    <row r="479" spans="1:6" x14ac:dyDescent="0.3">
      <c r="A479">
        <v>2024</v>
      </c>
      <c r="B479" t="s">
        <v>63</v>
      </c>
      <c r="C479" t="s">
        <v>45</v>
      </c>
      <c r="D479" s="1">
        <v>3442</v>
      </c>
      <c r="E479" s="1">
        <v>15621</v>
      </c>
      <c r="F479" s="2">
        <v>35759</v>
      </c>
    </row>
    <row r="480" spans="1:6" x14ac:dyDescent="0.3">
      <c r="A480">
        <v>2024</v>
      </c>
      <c r="B480" t="s">
        <v>63</v>
      </c>
      <c r="C480" t="s">
        <v>46</v>
      </c>
      <c r="D480" s="1">
        <v>13143</v>
      </c>
      <c r="E480" s="1">
        <v>74028</v>
      </c>
      <c r="F480" s="2">
        <v>36058</v>
      </c>
    </row>
    <row r="481" spans="1:6" x14ac:dyDescent="0.3">
      <c r="A481">
        <v>2024</v>
      </c>
      <c r="B481" t="s">
        <v>63</v>
      </c>
      <c r="C481" t="s">
        <v>47</v>
      </c>
      <c r="D481" s="1">
        <v>1669</v>
      </c>
      <c r="E481" s="1">
        <v>6769</v>
      </c>
      <c r="F481" s="2">
        <v>40253</v>
      </c>
    </row>
    <row r="482" spans="1:6" x14ac:dyDescent="0.3">
      <c r="A482">
        <v>2023</v>
      </c>
      <c r="B482" t="s">
        <v>55</v>
      </c>
      <c r="C482" t="s">
        <v>0</v>
      </c>
      <c r="D482" s="1">
        <v>1846</v>
      </c>
      <c r="E482" s="1">
        <v>18939</v>
      </c>
      <c r="F482" s="2">
        <v>56529</v>
      </c>
    </row>
    <row r="483" spans="1:6" x14ac:dyDescent="0.3">
      <c r="A483">
        <v>2023</v>
      </c>
      <c r="B483" t="s">
        <v>55</v>
      </c>
      <c r="C483" t="s">
        <v>1</v>
      </c>
      <c r="D483" s="1">
        <v>1358</v>
      </c>
      <c r="E483" s="1">
        <v>37970</v>
      </c>
      <c r="F483" s="2">
        <v>52262</v>
      </c>
    </row>
    <row r="484" spans="1:6" x14ac:dyDescent="0.3">
      <c r="A484">
        <v>2023</v>
      </c>
      <c r="B484" t="s">
        <v>55</v>
      </c>
      <c r="C484" t="s">
        <v>2</v>
      </c>
      <c r="D484" s="1">
        <v>2577</v>
      </c>
      <c r="E484" s="1">
        <v>16390</v>
      </c>
      <c r="F484" s="2">
        <v>48299</v>
      </c>
    </row>
    <row r="485" spans="1:6" x14ac:dyDescent="0.3">
      <c r="A485">
        <v>2023</v>
      </c>
      <c r="B485" t="s">
        <v>55</v>
      </c>
      <c r="C485" t="s">
        <v>3</v>
      </c>
      <c r="D485" s="1">
        <v>17663</v>
      </c>
      <c r="E485" s="1">
        <v>443581</v>
      </c>
      <c r="F485" s="2">
        <v>40246</v>
      </c>
    </row>
    <row r="486" spans="1:6" x14ac:dyDescent="0.3">
      <c r="A486">
        <v>2023</v>
      </c>
      <c r="B486" t="s">
        <v>55</v>
      </c>
      <c r="C486" t="s">
        <v>4</v>
      </c>
      <c r="D486" s="1">
        <v>3279</v>
      </c>
      <c r="E486" s="1">
        <v>48392</v>
      </c>
      <c r="F486" s="2">
        <v>90328</v>
      </c>
    </row>
    <row r="487" spans="1:6" x14ac:dyDescent="0.3">
      <c r="A487">
        <v>2023</v>
      </c>
      <c r="B487" t="s">
        <v>55</v>
      </c>
      <c r="C487" t="s">
        <v>5</v>
      </c>
      <c r="D487">
        <v>437</v>
      </c>
      <c r="E487" s="1">
        <v>5258</v>
      </c>
      <c r="F487" s="2">
        <v>41449</v>
      </c>
    </row>
    <row r="488" spans="1:6" x14ac:dyDescent="0.3">
      <c r="A488">
        <v>2023</v>
      </c>
      <c r="B488" t="s">
        <v>55</v>
      </c>
      <c r="C488" t="s">
        <v>6</v>
      </c>
      <c r="D488">
        <v>180</v>
      </c>
      <c r="E488" s="1">
        <v>1471</v>
      </c>
      <c r="F488" s="2">
        <v>42123</v>
      </c>
    </row>
    <row r="489" spans="1:6" x14ac:dyDescent="0.3">
      <c r="A489">
        <v>2023</v>
      </c>
      <c r="B489" t="s">
        <v>55</v>
      </c>
      <c r="C489" t="s">
        <v>7</v>
      </c>
      <c r="D489" s="1">
        <v>5304</v>
      </c>
      <c r="E489" s="1">
        <v>71329</v>
      </c>
      <c r="F489" s="2">
        <v>35645</v>
      </c>
    </row>
    <row r="490" spans="1:6" x14ac:dyDescent="0.3">
      <c r="A490">
        <v>2023</v>
      </c>
      <c r="B490" t="s">
        <v>55</v>
      </c>
      <c r="C490" t="s">
        <v>8</v>
      </c>
      <c r="D490" s="1">
        <v>2662</v>
      </c>
      <c r="E490" s="1">
        <v>29910</v>
      </c>
      <c r="F490" s="2">
        <v>43258</v>
      </c>
    </row>
    <row r="491" spans="1:6" x14ac:dyDescent="0.3">
      <c r="A491">
        <v>2023</v>
      </c>
      <c r="B491" t="s">
        <v>55</v>
      </c>
      <c r="C491" t="s">
        <v>9</v>
      </c>
      <c r="D491" s="1">
        <v>2401</v>
      </c>
      <c r="E491" s="1">
        <v>26555</v>
      </c>
      <c r="F491" s="2">
        <v>41105</v>
      </c>
    </row>
    <row r="492" spans="1:6" x14ac:dyDescent="0.3">
      <c r="A492">
        <v>2023</v>
      </c>
      <c r="B492" t="s">
        <v>55</v>
      </c>
      <c r="C492" t="s">
        <v>10</v>
      </c>
      <c r="D492" s="1">
        <v>2825</v>
      </c>
      <c r="E492" s="1">
        <v>26828</v>
      </c>
      <c r="F492" s="2">
        <v>52197</v>
      </c>
    </row>
    <row r="493" spans="1:6" x14ac:dyDescent="0.3">
      <c r="A493">
        <v>2023</v>
      </c>
      <c r="B493" t="s">
        <v>55</v>
      </c>
      <c r="C493" t="s">
        <v>11</v>
      </c>
      <c r="D493" s="1">
        <v>2255</v>
      </c>
      <c r="E493" s="1">
        <v>21475</v>
      </c>
      <c r="F493" s="2">
        <v>50243</v>
      </c>
    </row>
    <row r="494" spans="1:6" x14ac:dyDescent="0.3">
      <c r="A494">
        <v>2023</v>
      </c>
      <c r="B494" t="s">
        <v>55</v>
      </c>
      <c r="C494" t="s">
        <v>12</v>
      </c>
      <c r="D494" s="1">
        <v>2916</v>
      </c>
      <c r="E494" s="1">
        <v>23431</v>
      </c>
      <c r="F494" s="2">
        <v>44087</v>
      </c>
    </row>
    <row r="495" spans="1:6" x14ac:dyDescent="0.3">
      <c r="A495">
        <v>2023</v>
      </c>
      <c r="B495" t="s">
        <v>55</v>
      </c>
      <c r="C495" t="s">
        <v>13</v>
      </c>
      <c r="D495" s="1">
        <v>2612</v>
      </c>
      <c r="E495" s="1">
        <v>19353</v>
      </c>
      <c r="F495" s="2">
        <v>47802</v>
      </c>
    </row>
    <row r="496" spans="1:6" x14ac:dyDescent="0.3">
      <c r="A496">
        <v>2023</v>
      </c>
      <c r="B496" t="s">
        <v>55</v>
      </c>
      <c r="C496" t="s">
        <v>14</v>
      </c>
      <c r="D496" s="1">
        <v>1561</v>
      </c>
      <c r="E496" s="1">
        <v>18911</v>
      </c>
      <c r="F496" s="2">
        <v>56448</v>
      </c>
    </row>
    <row r="497" spans="1:6" x14ac:dyDescent="0.3">
      <c r="A497">
        <v>2023</v>
      </c>
      <c r="B497" t="s">
        <v>55</v>
      </c>
      <c r="C497" t="s">
        <v>15</v>
      </c>
      <c r="D497" s="1">
        <v>3133</v>
      </c>
      <c r="E497" s="1">
        <v>44052</v>
      </c>
      <c r="F497" s="2">
        <v>87820</v>
      </c>
    </row>
    <row r="498" spans="1:6" x14ac:dyDescent="0.3">
      <c r="A498">
        <v>2023</v>
      </c>
      <c r="B498" t="s">
        <v>55</v>
      </c>
      <c r="C498" t="s">
        <v>16</v>
      </c>
      <c r="D498" s="1">
        <v>1447</v>
      </c>
      <c r="E498" s="1">
        <v>7281</v>
      </c>
      <c r="F498" s="2">
        <v>41157</v>
      </c>
    </row>
    <row r="499" spans="1:6" x14ac:dyDescent="0.3">
      <c r="A499">
        <v>2023</v>
      </c>
      <c r="B499" t="s">
        <v>55</v>
      </c>
      <c r="C499" t="s">
        <v>17</v>
      </c>
      <c r="D499">
        <v>723</v>
      </c>
      <c r="E499" s="1">
        <v>7194</v>
      </c>
      <c r="F499" s="2">
        <v>44642</v>
      </c>
    </row>
    <row r="500" spans="1:6" x14ac:dyDescent="0.3">
      <c r="A500">
        <v>2023</v>
      </c>
      <c r="B500" t="s">
        <v>55</v>
      </c>
      <c r="C500" t="s">
        <v>18</v>
      </c>
      <c r="D500" s="1">
        <v>1007</v>
      </c>
      <c r="E500" s="1">
        <v>10500</v>
      </c>
      <c r="F500" s="2">
        <v>63846</v>
      </c>
    </row>
    <row r="501" spans="1:6" x14ac:dyDescent="0.3">
      <c r="A501">
        <v>2023</v>
      </c>
      <c r="B501" t="s">
        <v>55</v>
      </c>
      <c r="C501" t="s">
        <v>19</v>
      </c>
      <c r="D501" s="1">
        <v>3480</v>
      </c>
      <c r="E501" s="1">
        <v>35622</v>
      </c>
      <c r="F501" s="2">
        <v>41799</v>
      </c>
    </row>
    <row r="502" spans="1:6" x14ac:dyDescent="0.3">
      <c r="A502">
        <v>2023</v>
      </c>
      <c r="B502" t="s">
        <v>55</v>
      </c>
      <c r="C502" t="s">
        <v>20</v>
      </c>
      <c r="D502" s="1">
        <v>3094</v>
      </c>
      <c r="E502" s="1">
        <v>28134</v>
      </c>
      <c r="F502" s="2">
        <v>51107</v>
      </c>
    </row>
    <row r="503" spans="1:6" x14ac:dyDescent="0.3">
      <c r="A503">
        <v>2023</v>
      </c>
      <c r="B503" t="s">
        <v>55</v>
      </c>
      <c r="C503" t="s">
        <v>21</v>
      </c>
      <c r="D503" s="1">
        <v>2110</v>
      </c>
      <c r="E503" s="1">
        <v>15777</v>
      </c>
      <c r="F503" s="2">
        <v>49263</v>
      </c>
    </row>
    <row r="504" spans="1:6" x14ac:dyDescent="0.3">
      <c r="A504">
        <v>2023</v>
      </c>
      <c r="B504" t="s">
        <v>55</v>
      </c>
      <c r="C504" t="s">
        <v>22</v>
      </c>
      <c r="D504" s="1">
        <v>2031</v>
      </c>
      <c r="E504" s="1">
        <v>16899</v>
      </c>
      <c r="F504" s="2">
        <v>44815</v>
      </c>
    </row>
    <row r="505" spans="1:6" x14ac:dyDescent="0.3">
      <c r="A505">
        <v>2023</v>
      </c>
      <c r="B505" t="s">
        <v>55</v>
      </c>
      <c r="C505" t="s">
        <v>23</v>
      </c>
      <c r="D505" s="1">
        <v>1789</v>
      </c>
      <c r="E505" s="1">
        <v>12792</v>
      </c>
      <c r="F505" s="2">
        <v>67162</v>
      </c>
    </row>
    <row r="506" spans="1:6" x14ac:dyDescent="0.3">
      <c r="A506">
        <v>2023</v>
      </c>
      <c r="B506" t="s">
        <v>55</v>
      </c>
      <c r="C506" t="s">
        <v>24</v>
      </c>
      <c r="D506" s="1">
        <v>2414</v>
      </c>
      <c r="E506" s="1">
        <v>15761</v>
      </c>
      <c r="F506" s="2">
        <v>42685</v>
      </c>
    </row>
    <row r="507" spans="1:6" x14ac:dyDescent="0.3">
      <c r="A507">
        <v>2023</v>
      </c>
      <c r="B507" t="s">
        <v>55</v>
      </c>
      <c r="C507" t="s">
        <v>25</v>
      </c>
      <c r="D507">
        <v>618</v>
      </c>
      <c r="E507" s="1">
        <v>19841</v>
      </c>
      <c r="F507" s="2">
        <v>86362</v>
      </c>
    </row>
    <row r="508" spans="1:6" x14ac:dyDescent="0.3">
      <c r="A508">
        <v>2023</v>
      </c>
      <c r="B508" t="s">
        <v>55</v>
      </c>
      <c r="C508" t="s">
        <v>26</v>
      </c>
      <c r="D508">
        <v>350</v>
      </c>
      <c r="E508" s="1">
        <v>2627</v>
      </c>
      <c r="F508" s="2">
        <v>44073</v>
      </c>
    </row>
    <row r="509" spans="1:6" x14ac:dyDescent="0.3">
      <c r="A509">
        <v>2023</v>
      </c>
      <c r="B509" t="s">
        <v>55</v>
      </c>
      <c r="C509" t="s">
        <v>27</v>
      </c>
      <c r="D509">
        <v>998</v>
      </c>
      <c r="E509" s="1">
        <v>12407</v>
      </c>
      <c r="F509" s="2">
        <v>41732</v>
      </c>
    </row>
    <row r="510" spans="1:6" x14ac:dyDescent="0.3">
      <c r="A510">
        <v>2023</v>
      </c>
      <c r="B510" t="s">
        <v>55</v>
      </c>
      <c r="C510" t="s">
        <v>28</v>
      </c>
      <c r="D510" s="1">
        <v>2100</v>
      </c>
      <c r="E510" s="1">
        <v>36949</v>
      </c>
      <c r="F510" s="2">
        <v>68427</v>
      </c>
    </row>
    <row r="511" spans="1:6" x14ac:dyDescent="0.3">
      <c r="A511">
        <v>2023</v>
      </c>
      <c r="B511" t="s">
        <v>55</v>
      </c>
      <c r="C511" t="s">
        <v>29</v>
      </c>
      <c r="D511" s="1">
        <v>3053</v>
      </c>
      <c r="E511" s="1">
        <v>31787</v>
      </c>
      <c r="F511" s="2">
        <v>42992</v>
      </c>
    </row>
    <row r="512" spans="1:6" x14ac:dyDescent="0.3">
      <c r="A512">
        <v>2023</v>
      </c>
      <c r="B512" t="s">
        <v>55</v>
      </c>
      <c r="C512" t="s">
        <v>30</v>
      </c>
      <c r="D512" s="1">
        <v>3378</v>
      </c>
      <c r="E512" s="1">
        <v>29828</v>
      </c>
      <c r="F512" s="2">
        <v>40862</v>
      </c>
    </row>
    <row r="513" spans="1:6" x14ac:dyDescent="0.3">
      <c r="A513">
        <v>2023</v>
      </c>
      <c r="B513" t="s">
        <v>55</v>
      </c>
      <c r="C513" t="s">
        <v>31</v>
      </c>
      <c r="D513" s="1">
        <v>1784</v>
      </c>
      <c r="E513" s="1">
        <v>25973</v>
      </c>
      <c r="F513" s="2">
        <v>97355</v>
      </c>
    </row>
    <row r="514" spans="1:6" x14ac:dyDescent="0.3">
      <c r="A514">
        <v>2023</v>
      </c>
      <c r="B514" t="s">
        <v>55</v>
      </c>
      <c r="C514" t="s">
        <v>32</v>
      </c>
      <c r="D514" s="1">
        <v>2531</v>
      </c>
      <c r="E514" s="1">
        <v>28532</v>
      </c>
      <c r="F514" s="2">
        <v>51860</v>
      </c>
    </row>
    <row r="515" spans="1:6" x14ac:dyDescent="0.3">
      <c r="A515">
        <v>2023</v>
      </c>
      <c r="B515" t="s">
        <v>55</v>
      </c>
      <c r="C515" t="s">
        <v>33</v>
      </c>
      <c r="D515" s="1">
        <v>4402</v>
      </c>
      <c r="E515" s="1">
        <v>56786</v>
      </c>
      <c r="F515" s="2">
        <v>91249</v>
      </c>
    </row>
    <row r="516" spans="1:6" x14ac:dyDescent="0.3">
      <c r="A516">
        <v>2023</v>
      </c>
      <c r="B516" t="s">
        <v>55</v>
      </c>
      <c r="C516" t="s">
        <v>34</v>
      </c>
      <c r="D516" s="1">
        <v>4633</v>
      </c>
      <c r="E516" s="1">
        <v>54550</v>
      </c>
      <c r="F516" s="2">
        <v>37586</v>
      </c>
    </row>
    <row r="517" spans="1:6" x14ac:dyDescent="0.3">
      <c r="A517">
        <v>2023</v>
      </c>
      <c r="B517" t="s">
        <v>55</v>
      </c>
      <c r="C517" t="s">
        <v>35</v>
      </c>
      <c r="D517" s="1">
        <v>3616</v>
      </c>
      <c r="E517" s="1">
        <v>52904</v>
      </c>
      <c r="F517" s="2">
        <v>65014</v>
      </c>
    </row>
    <row r="518" spans="1:6" x14ac:dyDescent="0.3">
      <c r="A518">
        <v>2023</v>
      </c>
      <c r="B518" t="s">
        <v>55</v>
      </c>
      <c r="C518" t="s">
        <v>36</v>
      </c>
      <c r="D518">
        <v>198</v>
      </c>
      <c r="E518" s="1">
        <v>1121</v>
      </c>
      <c r="F518" s="2">
        <v>39917</v>
      </c>
    </row>
    <row r="519" spans="1:6" x14ac:dyDescent="0.3">
      <c r="A519">
        <v>2023</v>
      </c>
      <c r="B519" t="s">
        <v>55</v>
      </c>
      <c r="C519" t="s">
        <v>37</v>
      </c>
      <c r="D519" s="1">
        <v>1345</v>
      </c>
      <c r="E519" s="1">
        <v>12552</v>
      </c>
      <c r="F519" s="2">
        <v>43952</v>
      </c>
    </row>
    <row r="520" spans="1:6" x14ac:dyDescent="0.3">
      <c r="A520">
        <v>2023</v>
      </c>
      <c r="B520" t="s">
        <v>55</v>
      </c>
      <c r="C520" t="s">
        <v>38</v>
      </c>
      <c r="D520" s="1">
        <v>1063</v>
      </c>
      <c r="E520" s="1">
        <v>6986</v>
      </c>
      <c r="F520" s="2">
        <v>43642</v>
      </c>
    </row>
    <row r="521" spans="1:6" x14ac:dyDescent="0.3">
      <c r="A521">
        <v>2023</v>
      </c>
      <c r="B521" t="s">
        <v>55</v>
      </c>
      <c r="C521" t="s">
        <v>39</v>
      </c>
      <c r="D521" s="1">
        <v>1107</v>
      </c>
      <c r="E521" s="1">
        <v>11568</v>
      </c>
      <c r="F521" s="2">
        <v>46865</v>
      </c>
    </row>
    <row r="522" spans="1:6" x14ac:dyDescent="0.3">
      <c r="A522">
        <v>2023</v>
      </c>
      <c r="B522" t="s">
        <v>55</v>
      </c>
      <c r="C522" t="s">
        <v>40</v>
      </c>
      <c r="D522" s="1">
        <v>19971</v>
      </c>
      <c r="E522" s="1">
        <v>307800</v>
      </c>
      <c r="F522" s="2">
        <v>114918</v>
      </c>
    </row>
    <row r="523" spans="1:6" x14ac:dyDescent="0.3">
      <c r="A523">
        <v>2023</v>
      </c>
      <c r="B523" t="s">
        <v>55</v>
      </c>
      <c r="C523" t="s">
        <v>41</v>
      </c>
      <c r="D523" s="1">
        <v>1032</v>
      </c>
      <c r="E523" s="1">
        <v>15160</v>
      </c>
      <c r="F523" s="2">
        <v>63604</v>
      </c>
    </row>
    <row r="524" spans="1:6" x14ac:dyDescent="0.3">
      <c r="A524">
        <v>2023</v>
      </c>
      <c r="B524" t="s">
        <v>55</v>
      </c>
      <c r="C524" t="s">
        <v>42</v>
      </c>
      <c r="D524">
        <v>564</v>
      </c>
      <c r="E524" s="1">
        <v>4130</v>
      </c>
      <c r="F524" s="2">
        <v>39607</v>
      </c>
    </row>
    <row r="525" spans="1:6" x14ac:dyDescent="0.3">
      <c r="A525">
        <v>2023</v>
      </c>
      <c r="B525" t="s">
        <v>55</v>
      </c>
      <c r="C525" t="s">
        <v>43</v>
      </c>
      <c r="D525" s="1">
        <v>2095</v>
      </c>
      <c r="E525" s="1">
        <v>18691</v>
      </c>
      <c r="F525" s="2">
        <v>48704</v>
      </c>
    </row>
    <row r="526" spans="1:6" x14ac:dyDescent="0.3">
      <c r="A526">
        <v>2023</v>
      </c>
      <c r="B526" t="s">
        <v>55</v>
      </c>
      <c r="C526" t="s">
        <v>44</v>
      </c>
      <c r="D526" s="1">
        <v>7117</v>
      </c>
      <c r="E526" s="1">
        <v>105362</v>
      </c>
      <c r="F526" s="2">
        <v>34547</v>
      </c>
    </row>
    <row r="527" spans="1:6" x14ac:dyDescent="0.3">
      <c r="A527">
        <v>2023</v>
      </c>
      <c r="B527" t="s">
        <v>55</v>
      </c>
      <c r="C527" t="s">
        <v>45</v>
      </c>
      <c r="D527" s="1">
        <v>1166</v>
      </c>
      <c r="E527" s="1">
        <v>23333</v>
      </c>
      <c r="F527" s="2">
        <v>80470</v>
      </c>
    </row>
    <row r="528" spans="1:6" x14ac:dyDescent="0.3">
      <c r="A528">
        <v>2023</v>
      </c>
      <c r="B528" t="s">
        <v>55</v>
      </c>
      <c r="C528" t="s">
        <v>46</v>
      </c>
      <c r="D528" s="1">
        <v>2876</v>
      </c>
      <c r="E528" s="1">
        <v>31424</v>
      </c>
      <c r="F528" s="2">
        <v>40225</v>
      </c>
    </row>
    <row r="529" spans="1:6" x14ac:dyDescent="0.3">
      <c r="A529">
        <v>2023</v>
      </c>
      <c r="B529" t="s">
        <v>55</v>
      </c>
      <c r="C529" t="s">
        <v>47</v>
      </c>
      <c r="D529" s="1">
        <v>1463</v>
      </c>
      <c r="E529" s="1">
        <v>23524</v>
      </c>
      <c r="F529" s="2">
        <v>86467</v>
      </c>
    </row>
    <row r="530" spans="1:6" x14ac:dyDescent="0.3">
      <c r="A530">
        <v>2023</v>
      </c>
      <c r="B530" t="s">
        <v>56</v>
      </c>
      <c r="C530" t="s">
        <v>0</v>
      </c>
      <c r="D530" s="1">
        <v>10069</v>
      </c>
      <c r="E530" s="1">
        <v>93619</v>
      </c>
      <c r="F530" s="2">
        <v>56141</v>
      </c>
    </row>
    <row r="531" spans="1:6" x14ac:dyDescent="0.3">
      <c r="A531">
        <v>2023</v>
      </c>
      <c r="B531" t="s">
        <v>56</v>
      </c>
      <c r="C531" t="s">
        <v>1</v>
      </c>
      <c r="D531" s="1">
        <v>13677</v>
      </c>
      <c r="E531" s="1">
        <v>171309</v>
      </c>
      <c r="F531" s="2">
        <v>58621</v>
      </c>
    </row>
    <row r="532" spans="1:6" x14ac:dyDescent="0.3">
      <c r="A532">
        <v>2023</v>
      </c>
      <c r="B532" t="s">
        <v>56</v>
      </c>
      <c r="C532" t="s">
        <v>2</v>
      </c>
      <c r="D532" s="1">
        <v>7093</v>
      </c>
      <c r="E532" s="1">
        <v>52538</v>
      </c>
      <c r="F532" s="2">
        <v>49541</v>
      </c>
    </row>
    <row r="533" spans="1:6" x14ac:dyDescent="0.3">
      <c r="A533">
        <v>2023</v>
      </c>
      <c r="B533" t="s">
        <v>56</v>
      </c>
      <c r="C533" t="s">
        <v>3</v>
      </c>
      <c r="D533" s="1">
        <v>84247</v>
      </c>
      <c r="E533" s="1">
        <v>885668</v>
      </c>
      <c r="F533" s="2">
        <v>73343</v>
      </c>
    </row>
    <row r="534" spans="1:6" x14ac:dyDescent="0.3">
      <c r="A534">
        <v>2023</v>
      </c>
      <c r="B534" t="s">
        <v>56</v>
      </c>
      <c r="C534" t="s">
        <v>4</v>
      </c>
      <c r="D534" s="1">
        <v>20430</v>
      </c>
      <c r="E534" s="1">
        <v>178880</v>
      </c>
      <c r="F534" s="2">
        <v>64603</v>
      </c>
    </row>
    <row r="535" spans="1:6" x14ac:dyDescent="0.3">
      <c r="A535">
        <v>2023</v>
      </c>
      <c r="B535" t="s">
        <v>56</v>
      </c>
      <c r="C535" t="s">
        <v>5</v>
      </c>
      <c r="D535" s="1">
        <v>9496</v>
      </c>
      <c r="E535" s="1">
        <v>59731</v>
      </c>
      <c r="F535" s="2">
        <v>72413</v>
      </c>
    </row>
    <row r="536" spans="1:6" x14ac:dyDescent="0.3">
      <c r="A536">
        <v>2023</v>
      </c>
      <c r="B536" t="s">
        <v>56</v>
      </c>
      <c r="C536" t="s">
        <v>6</v>
      </c>
      <c r="D536" s="1">
        <v>3007</v>
      </c>
      <c r="E536" s="1">
        <v>22909</v>
      </c>
      <c r="F536" s="2">
        <v>62481</v>
      </c>
    </row>
    <row r="537" spans="1:6" x14ac:dyDescent="0.3">
      <c r="A537">
        <v>2023</v>
      </c>
      <c r="B537" t="s">
        <v>56</v>
      </c>
      <c r="C537" t="s">
        <v>7</v>
      </c>
      <c r="D537" s="1">
        <v>74711</v>
      </c>
      <c r="E537" s="1">
        <v>563526</v>
      </c>
      <c r="F537" s="2">
        <v>52893</v>
      </c>
    </row>
    <row r="538" spans="1:6" x14ac:dyDescent="0.3">
      <c r="A538">
        <v>2023</v>
      </c>
      <c r="B538" t="s">
        <v>56</v>
      </c>
      <c r="C538" t="s">
        <v>8</v>
      </c>
      <c r="D538" s="1">
        <v>21408</v>
      </c>
      <c r="E538" s="1">
        <v>203951</v>
      </c>
      <c r="F538" s="2">
        <v>63683</v>
      </c>
    </row>
    <row r="539" spans="1:6" x14ac:dyDescent="0.3">
      <c r="A539">
        <v>2023</v>
      </c>
      <c r="B539" t="s">
        <v>56</v>
      </c>
      <c r="C539" t="s">
        <v>9</v>
      </c>
      <c r="D539" s="1">
        <v>8175</v>
      </c>
      <c r="E539" s="1">
        <v>50684</v>
      </c>
      <c r="F539" s="2">
        <v>46258</v>
      </c>
    </row>
    <row r="540" spans="1:6" x14ac:dyDescent="0.3">
      <c r="A540">
        <v>2023</v>
      </c>
      <c r="B540" t="s">
        <v>56</v>
      </c>
      <c r="C540" t="s">
        <v>10</v>
      </c>
      <c r="D540" s="1">
        <v>32686</v>
      </c>
      <c r="E540" s="1">
        <v>227968</v>
      </c>
      <c r="F540" s="2">
        <v>73799</v>
      </c>
    </row>
    <row r="541" spans="1:6" x14ac:dyDescent="0.3">
      <c r="A541">
        <v>2023</v>
      </c>
      <c r="B541" t="s">
        <v>56</v>
      </c>
      <c r="C541" t="s">
        <v>11</v>
      </c>
      <c r="D541" s="1">
        <v>15232</v>
      </c>
      <c r="E541" s="1">
        <v>145851</v>
      </c>
      <c r="F541" s="2">
        <v>60057</v>
      </c>
    </row>
    <row r="542" spans="1:6" x14ac:dyDescent="0.3">
      <c r="A542">
        <v>2023</v>
      </c>
      <c r="B542" t="s">
        <v>56</v>
      </c>
      <c r="C542" t="s">
        <v>12</v>
      </c>
      <c r="D542" s="1">
        <v>9462</v>
      </c>
      <c r="E542" s="1">
        <v>78134</v>
      </c>
      <c r="F542" s="2">
        <v>58962</v>
      </c>
    </row>
    <row r="543" spans="1:6" x14ac:dyDescent="0.3">
      <c r="A543">
        <v>2023</v>
      </c>
      <c r="B543" t="s">
        <v>56</v>
      </c>
      <c r="C543" t="s">
        <v>13</v>
      </c>
      <c r="D543" s="1">
        <v>7399</v>
      </c>
      <c r="E543" s="1">
        <v>63735</v>
      </c>
      <c r="F543" s="2">
        <v>57030</v>
      </c>
    </row>
    <row r="544" spans="1:6" x14ac:dyDescent="0.3">
      <c r="A544">
        <v>2023</v>
      </c>
      <c r="B544" t="s">
        <v>56</v>
      </c>
      <c r="C544" t="s">
        <v>14</v>
      </c>
      <c r="D544" s="1">
        <v>9517</v>
      </c>
      <c r="E544" s="1">
        <v>80463</v>
      </c>
      <c r="F544" s="2">
        <v>55601</v>
      </c>
    </row>
    <row r="545" spans="1:6" x14ac:dyDescent="0.3">
      <c r="A545">
        <v>2023</v>
      </c>
      <c r="B545" t="s">
        <v>56</v>
      </c>
      <c r="C545" t="s">
        <v>15</v>
      </c>
      <c r="D545" s="1">
        <v>10991</v>
      </c>
      <c r="E545" s="1">
        <v>142033</v>
      </c>
      <c r="F545" s="2">
        <v>64940</v>
      </c>
    </row>
    <row r="546" spans="1:6" x14ac:dyDescent="0.3">
      <c r="A546">
        <v>2023</v>
      </c>
      <c r="B546" t="s">
        <v>56</v>
      </c>
      <c r="C546" t="s">
        <v>16</v>
      </c>
      <c r="D546" s="1">
        <v>5605</v>
      </c>
      <c r="E546" s="1">
        <v>29987</v>
      </c>
      <c r="F546" s="2">
        <v>51654</v>
      </c>
    </row>
    <row r="547" spans="1:6" x14ac:dyDescent="0.3">
      <c r="A547">
        <v>2023</v>
      </c>
      <c r="B547" t="s">
        <v>56</v>
      </c>
      <c r="C547" t="s">
        <v>17</v>
      </c>
      <c r="D547" s="1">
        <v>16694</v>
      </c>
      <c r="E547" s="1">
        <v>166132</v>
      </c>
      <c r="F547" s="2">
        <v>67799</v>
      </c>
    </row>
    <row r="548" spans="1:6" x14ac:dyDescent="0.3">
      <c r="A548">
        <v>2023</v>
      </c>
      <c r="B548" t="s">
        <v>56</v>
      </c>
      <c r="C548" t="s">
        <v>18</v>
      </c>
      <c r="D548" s="1">
        <v>21309</v>
      </c>
      <c r="E548" s="1">
        <v>163062</v>
      </c>
      <c r="F548" s="2">
        <v>81436</v>
      </c>
    </row>
    <row r="549" spans="1:6" x14ac:dyDescent="0.3">
      <c r="A549">
        <v>2023</v>
      </c>
      <c r="B549" t="s">
        <v>56</v>
      </c>
      <c r="C549" t="s">
        <v>19</v>
      </c>
      <c r="D549" s="1">
        <v>21106</v>
      </c>
      <c r="E549" s="1">
        <v>173015</v>
      </c>
      <c r="F549" s="2">
        <v>63588</v>
      </c>
    </row>
    <row r="550" spans="1:6" x14ac:dyDescent="0.3">
      <c r="A550">
        <v>2023</v>
      </c>
      <c r="B550" t="s">
        <v>56</v>
      </c>
      <c r="C550" t="s">
        <v>20</v>
      </c>
      <c r="D550" s="1">
        <v>16700</v>
      </c>
      <c r="E550" s="1">
        <v>127092</v>
      </c>
      <c r="F550" s="2">
        <v>69734</v>
      </c>
    </row>
    <row r="551" spans="1:6" x14ac:dyDescent="0.3">
      <c r="A551">
        <v>2023</v>
      </c>
      <c r="B551" t="s">
        <v>56</v>
      </c>
      <c r="C551" t="s">
        <v>21</v>
      </c>
      <c r="D551" s="1">
        <v>5771</v>
      </c>
      <c r="E551" s="1">
        <v>44543</v>
      </c>
      <c r="F551" s="2">
        <v>50925</v>
      </c>
    </row>
    <row r="552" spans="1:6" x14ac:dyDescent="0.3">
      <c r="A552">
        <v>2023</v>
      </c>
      <c r="B552" t="s">
        <v>56</v>
      </c>
      <c r="C552" t="s">
        <v>22</v>
      </c>
      <c r="D552" s="1">
        <v>15133</v>
      </c>
      <c r="E552" s="1">
        <v>126641</v>
      </c>
      <c r="F552" s="2">
        <v>61762</v>
      </c>
    </row>
    <row r="553" spans="1:6" x14ac:dyDescent="0.3">
      <c r="A553">
        <v>2023</v>
      </c>
      <c r="B553" t="s">
        <v>56</v>
      </c>
      <c r="C553" t="s">
        <v>23</v>
      </c>
      <c r="D553" s="1">
        <v>6432</v>
      </c>
      <c r="E553" s="1">
        <v>29914</v>
      </c>
      <c r="F553" s="2">
        <v>53962</v>
      </c>
    </row>
    <row r="554" spans="1:6" x14ac:dyDescent="0.3">
      <c r="A554">
        <v>2023</v>
      </c>
      <c r="B554" t="s">
        <v>56</v>
      </c>
      <c r="C554" t="s">
        <v>24</v>
      </c>
      <c r="D554" s="1">
        <v>7038</v>
      </c>
      <c r="E554" s="1">
        <v>53732</v>
      </c>
      <c r="F554" s="2">
        <v>53794</v>
      </c>
    </row>
    <row r="555" spans="1:6" x14ac:dyDescent="0.3">
      <c r="A555">
        <v>2023</v>
      </c>
      <c r="B555" t="s">
        <v>56</v>
      </c>
      <c r="C555" t="s">
        <v>25</v>
      </c>
      <c r="D555" s="1">
        <v>5852</v>
      </c>
      <c r="E555" s="1">
        <v>95939</v>
      </c>
      <c r="F555" s="2">
        <v>64365</v>
      </c>
    </row>
    <row r="556" spans="1:6" x14ac:dyDescent="0.3">
      <c r="A556">
        <v>2023</v>
      </c>
      <c r="B556" t="s">
        <v>56</v>
      </c>
      <c r="C556" t="s">
        <v>26</v>
      </c>
      <c r="D556" s="1">
        <v>4692</v>
      </c>
      <c r="E556" s="1">
        <v>27825</v>
      </c>
      <c r="F556" s="2">
        <v>64868</v>
      </c>
    </row>
    <row r="557" spans="1:6" x14ac:dyDescent="0.3">
      <c r="A557">
        <v>2023</v>
      </c>
      <c r="B557" t="s">
        <v>56</v>
      </c>
      <c r="C557" t="s">
        <v>27</v>
      </c>
      <c r="D557" s="1">
        <v>22556</v>
      </c>
      <c r="E557" s="1">
        <v>159462</v>
      </c>
      <c r="F557" s="2">
        <v>74644</v>
      </c>
    </row>
    <row r="558" spans="1:6" x14ac:dyDescent="0.3">
      <c r="A558">
        <v>2023</v>
      </c>
      <c r="B558" t="s">
        <v>56</v>
      </c>
      <c r="C558" t="s">
        <v>28</v>
      </c>
      <c r="D558" s="1">
        <v>5571</v>
      </c>
      <c r="E558" s="1">
        <v>50153</v>
      </c>
      <c r="F558" s="2">
        <v>52091</v>
      </c>
    </row>
    <row r="559" spans="1:6" x14ac:dyDescent="0.3">
      <c r="A559">
        <v>2023</v>
      </c>
      <c r="B559" t="s">
        <v>56</v>
      </c>
      <c r="C559" t="s">
        <v>29</v>
      </c>
      <c r="D559" s="1">
        <v>50432</v>
      </c>
      <c r="E559" s="1">
        <v>405650</v>
      </c>
      <c r="F559" s="2">
        <v>75570</v>
      </c>
    </row>
    <row r="560" spans="1:6" x14ac:dyDescent="0.3">
      <c r="A560">
        <v>2023</v>
      </c>
      <c r="B560" t="s">
        <v>56</v>
      </c>
      <c r="C560" t="s">
        <v>30</v>
      </c>
      <c r="D560" s="1">
        <v>27974</v>
      </c>
      <c r="E560" s="1">
        <v>231739</v>
      </c>
      <c r="F560" s="2">
        <v>56974</v>
      </c>
    </row>
    <row r="561" spans="1:6" x14ac:dyDescent="0.3">
      <c r="A561">
        <v>2023</v>
      </c>
      <c r="B561" t="s">
        <v>56</v>
      </c>
      <c r="C561" t="s">
        <v>31</v>
      </c>
      <c r="D561" s="1">
        <v>3692</v>
      </c>
      <c r="E561" s="1">
        <v>27961</v>
      </c>
      <c r="F561" s="2">
        <v>68153</v>
      </c>
    </row>
    <row r="562" spans="1:6" x14ac:dyDescent="0.3">
      <c r="A562">
        <v>2023</v>
      </c>
      <c r="B562" t="s">
        <v>56</v>
      </c>
      <c r="C562" t="s">
        <v>32</v>
      </c>
      <c r="D562" s="1">
        <v>23405</v>
      </c>
      <c r="E562" s="1">
        <v>226563</v>
      </c>
      <c r="F562" s="2">
        <v>62383</v>
      </c>
    </row>
    <row r="563" spans="1:6" x14ac:dyDescent="0.3">
      <c r="A563">
        <v>2023</v>
      </c>
      <c r="B563" t="s">
        <v>56</v>
      </c>
      <c r="C563" t="s">
        <v>33</v>
      </c>
      <c r="D563" s="1">
        <v>9801</v>
      </c>
      <c r="E563" s="1">
        <v>82834</v>
      </c>
      <c r="F563" s="2">
        <v>54435</v>
      </c>
    </row>
    <row r="564" spans="1:6" x14ac:dyDescent="0.3">
      <c r="A564">
        <v>2023</v>
      </c>
      <c r="B564" t="s">
        <v>56</v>
      </c>
      <c r="C564" t="s">
        <v>34</v>
      </c>
      <c r="D564" s="1">
        <v>14626</v>
      </c>
      <c r="E564" s="1">
        <v>108871</v>
      </c>
      <c r="F564" s="2">
        <v>63148</v>
      </c>
    </row>
    <row r="565" spans="1:6" x14ac:dyDescent="0.3">
      <c r="A565">
        <v>2023</v>
      </c>
      <c r="B565" t="s">
        <v>56</v>
      </c>
      <c r="C565" t="s">
        <v>35</v>
      </c>
      <c r="D565" s="1">
        <v>29139</v>
      </c>
      <c r="E565" s="1">
        <v>260895</v>
      </c>
      <c r="F565" s="2">
        <v>68612</v>
      </c>
    </row>
    <row r="566" spans="1:6" x14ac:dyDescent="0.3">
      <c r="A566">
        <v>2023</v>
      </c>
      <c r="B566" t="s">
        <v>56</v>
      </c>
      <c r="C566" t="s">
        <v>36</v>
      </c>
      <c r="D566" s="1">
        <v>3833</v>
      </c>
      <c r="E566" s="1">
        <v>19980</v>
      </c>
      <c r="F566" s="2">
        <v>63414</v>
      </c>
    </row>
    <row r="567" spans="1:6" x14ac:dyDescent="0.3">
      <c r="A567">
        <v>2023</v>
      </c>
      <c r="B567" t="s">
        <v>56</v>
      </c>
      <c r="C567" t="s">
        <v>37</v>
      </c>
      <c r="D567" s="1">
        <v>12956</v>
      </c>
      <c r="E567" s="1">
        <v>107028</v>
      </c>
      <c r="F567" s="2">
        <v>55230</v>
      </c>
    </row>
    <row r="568" spans="1:6" x14ac:dyDescent="0.3">
      <c r="A568">
        <v>2023</v>
      </c>
      <c r="B568" t="s">
        <v>56</v>
      </c>
      <c r="C568" t="s">
        <v>38</v>
      </c>
      <c r="D568" s="1">
        <v>3897</v>
      </c>
      <c r="E568" s="1">
        <v>23609</v>
      </c>
      <c r="F568" s="2">
        <v>50997</v>
      </c>
    </row>
    <row r="569" spans="1:6" x14ac:dyDescent="0.3">
      <c r="A569">
        <v>2023</v>
      </c>
      <c r="B569" t="s">
        <v>56</v>
      </c>
      <c r="C569" t="s">
        <v>39</v>
      </c>
      <c r="D569" s="1">
        <v>12487</v>
      </c>
      <c r="E569" s="1">
        <v>130126</v>
      </c>
      <c r="F569" s="2">
        <v>58777</v>
      </c>
    </row>
    <row r="570" spans="1:6" x14ac:dyDescent="0.3">
      <c r="A570">
        <v>2023</v>
      </c>
      <c r="B570" t="s">
        <v>56</v>
      </c>
      <c r="C570" t="s">
        <v>40</v>
      </c>
      <c r="D570" s="1">
        <v>53248</v>
      </c>
      <c r="E570" s="1">
        <v>774190</v>
      </c>
      <c r="F570" s="2">
        <v>67564</v>
      </c>
    </row>
    <row r="571" spans="1:6" x14ac:dyDescent="0.3">
      <c r="A571">
        <v>2023</v>
      </c>
      <c r="B571" t="s">
        <v>56</v>
      </c>
      <c r="C571" t="s">
        <v>41</v>
      </c>
      <c r="D571" s="1">
        <v>12212</v>
      </c>
      <c r="E571" s="1">
        <v>109486</v>
      </c>
      <c r="F571" s="2">
        <v>53428</v>
      </c>
    </row>
    <row r="572" spans="1:6" x14ac:dyDescent="0.3">
      <c r="A572">
        <v>2023</v>
      </c>
      <c r="B572" t="s">
        <v>56</v>
      </c>
      <c r="C572" t="s">
        <v>42</v>
      </c>
      <c r="D572" s="1">
        <v>2846</v>
      </c>
      <c r="E572" s="1">
        <v>15283</v>
      </c>
      <c r="F572" s="2">
        <v>52585</v>
      </c>
    </row>
    <row r="573" spans="1:6" x14ac:dyDescent="0.3">
      <c r="A573">
        <v>2023</v>
      </c>
      <c r="B573" t="s">
        <v>56</v>
      </c>
      <c r="C573" t="s">
        <v>43</v>
      </c>
      <c r="D573" s="1">
        <v>21468</v>
      </c>
      <c r="E573" s="1">
        <v>202134</v>
      </c>
      <c r="F573" s="2">
        <v>60504</v>
      </c>
    </row>
    <row r="574" spans="1:6" x14ac:dyDescent="0.3">
      <c r="A574">
        <v>2023</v>
      </c>
      <c r="B574" t="s">
        <v>56</v>
      </c>
      <c r="C574" t="s">
        <v>44</v>
      </c>
      <c r="D574" s="1">
        <v>26472</v>
      </c>
      <c r="E574" s="1">
        <v>205717</v>
      </c>
      <c r="F574" s="2">
        <v>67833</v>
      </c>
    </row>
    <row r="575" spans="1:6" x14ac:dyDescent="0.3">
      <c r="A575">
        <v>2023</v>
      </c>
      <c r="B575" t="s">
        <v>56</v>
      </c>
      <c r="C575" t="s">
        <v>45</v>
      </c>
      <c r="D575" s="1">
        <v>4338</v>
      </c>
      <c r="E575" s="1">
        <v>35459</v>
      </c>
      <c r="F575" s="2">
        <v>64460</v>
      </c>
    </row>
    <row r="576" spans="1:6" x14ac:dyDescent="0.3">
      <c r="A576">
        <v>2023</v>
      </c>
      <c r="B576" t="s">
        <v>56</v>
      </c>
      <c r="C576" t="s">
        <v>46</v>
      </c>
      <c r="D576" s="1">
        <v>14823</v>
      </c>
      <c r="E576" s="1">
        <v>124384</v>
      </c>
      <c r="F576" s="2">
        <v>63874</v>
      </c>
    </row>
    <row r="577" spans="1:6" x14ac:dyDescent="0.3">
      <c r="A577">
        <v>2023</v>
      </c>
      <c r="B577" t="s">
        <v>56</v>
      </c>
      <c r="C577" t="s">
        <v>47</v>
      </c>
      <c r="D577" s="1">
        <v>3427</v>
      </c>
      <c r="E577" s="1">
        <v>22875</v>
      </c>
      <c r="F577" s="2">
        <v>57417</v>
      </c>
    </row>
    <row r="578" spans="1:6" x14ac:dyDescent="0.3">
      <c r="A578">
        <v>2023</v>
      </c>
      <c r="B578" t="s">
        <v>57</v>
      </c>
      <c r="C578" t="s">
        <v>0</v>
      </c>
      <c r="D578" s="1">
        <v>5677</v>
      </c>
      <c r="E578" s="1">
        <v>268948</v>
      </c>
      <c r="F578" s="2">
        <v>58532</v>
      </c>
    </row>
    <row r="579" spans="1:6" x14ac:dyDescent="0.3">
      <c r="A579">
        <v>2023</v>
      </c>
      <c r="B579" t="s">
        <v>57</v>
      </c>
      <c r="C579" t="s">
        <v>1</v>
      </c>
      <c r="D579" s="1">
        <v>5157</v>
      </c>
      <c r="E579" s="1">
        <v>177610</v>
      </c>
      <c r="F579" s="2">
        <v>78966</v>
      </c>
    </row>
    <row r="580" spans="1:6" x14ac:dyDescent="0.3">
      <c r="A580">
        <v>2023</v>
      </c>
      <c r="B580" t="s">
        <v>57</v>
      </c>
      <c r="C580" t="s">
        <v>2</v>
      </c>
      <c r="D580" s="1">
        <v>2930</v>
      </c>
      <c r="E580" s="1">
        <v>162214</v>
      </c>
      <c r="F580" s="2">
        <v>49202</v>
      </c>
    </row>
    <row r="581" spans="1:6" x14ac:dyDescent="0.3">
      <c r="A581">
        <v>2023</v>
      </c>
      <c r="B581" t="s">
        <v>57</v>
      </c>
      <c r="C581" t="s">
        <v>3</v>
      </c>
      <c r="D581" s="1">
        <v>44539</v>
      </c>
      <c r="E581" s="1">
        <v>1322455</v>
      </c>
      <c r="F581" s="2">
        <v>98222</v>
      </c>
    </row>
    <row r="582" spans="1:6" x14ac:dyDescent="0.3">
      <c r="A582">
        <v>2023</v>
      </c>
      <c r="B582" t="s">
        <v>57</v>
      </c>
      <c r="C582" t="s">
        <v>4</v>
      </c>
      <c r="D582" s="1">
        <v>5849</v>
      </c>
      <c r="E582" s="1">
        <v>150109</v>
      </c>
      <c r="F582" s="2">
        <v>73935</v>
      </c>
    </row>
    <row r="583" spans="1:6" x14ac:dyDescent="0.3">
      <c r="A583">
        <v>2023</v>
      </c>
      <c r="B583" t="s">
        <v>57</v>
      </c>
      <c r="C583" t="s">
        <v>5</v>
      </c>
      <c r="D583" s="1">
        <v>4405</v>
      </c>
      <c r="E583" s="1">
        <v>161899</v>
      </c>
      <c r="F583" s="2">
        <v>85024</v>
      </c>
    </row>
    <row r="584" spans="1:6" x14ac:dyDescent="0.3">
      <c r="A584">
        <v>2023</v>
      </c>
      <c r="B584" t="s">
        <v>57</v>
      </c>
      <c r="C584" t="s">
        <v>6</v>
      </c>
      <c r="D584">
        <v>663</v>
      </c>
      <c r="E584" s="1">
        <v>27298</v>
      </c>
      <c r="F584" s="2">
        <v>66194</v>
      </c>
    </row>
    <row r="585" spans="1:6" x14ac:dyDescent="0.3">
      <c r="A585">
        <v>2023</v>
      </c>
      <c r="B585" t="s">
        <v>57</v>
      </c>
      <c r="C585" t="s">
        <v>7</v>
      </c>
      <c r="D585" s="1">
        <v>20799</v>
      </c>
      <c r="E585" s="1">
        <v>383956</v>
      </c>
      <c r="F585" s="2">
        <v>63877</v>
      </c>
    </row>
    <row r="586" spans="1:6" x14ac:dyDescent="0.3">
      <c r="A586">
        <v>2023</v>
      </c>
      <c r="B586" t="s">
        <v>57</v>
      </c>
      <c r="C586" t="s">
        <v>8</v>
      </c>
      <c r="D586" s="1">
        <v>10066</v>
      </c>
      <c r="E586" s="1">
        <v>404085</v>
      </c>
      <c r="F586" s="2">
        <v>58246</v>
      </c>
    </row>
    <row r="587" spans="1:6" x14ac:dyDescent="0.3">
      <c r="A587">
        <v>2023</v>
      </c>
      <c r="B587" t="s">
        <v>57</v>
      </c>
      <c r="C587" t="s">
        <v>9</v>
      </c>
      <c r="D587" s="1">
        <v>2680</v>
      </c>
      <c r="E587" s="1">
        <v>68404</v>
      </c>
      <c r="F587" s="2">
        <v>62480</v>
      </c>
    </row>
    <row r="588" spans="1:6" x14ac:dyDescent="0.3">
      <c r="A588">
        <v>2023</v>
      </c>
      <c r="B588" t="s">
        <v>57</v>
      </c>
      <c r="C588" t="s">
        <v>10</v>
      </c>
      <c r="D588" s="1">
        <v>18066</v>
      </c>
      <c r="E588" s="1">
        <v>585894</v>
      </c>
      <c r="F588" s="2">
        <v>72819</v>
      </c>
    </row>
    <row r="589" spans="1:6" x14ac:dyDescent="0.3">
      <c r="A589">
        <v>2023</v>
      </c>
      <c r="B589" t="s">
        <v>57</v>
      </c>
      <c r="C589" t="s">
        <v>11</v>
      </c>
      <c r="D589" s="1">
        <v>9083</v>
      </c>
      <c r="E589" s="1">
        <v>541099</v>
      </c>
      <c r="F589" s="2">
        <v>63320</v>
      </c>
    </row>
    <row r="590" spans="1:6" x14ac:dyDescent="0.3">
      <c r="A590">
        <v>2023</v>
      </c>
      <c r="B590" t="s">
        <v>57</v>
      </c>
      <c r="C590" t="s">
        <v>12</v>
      </c>
      <c r="D590" s="1">
        <v>4132</v>
      </c>
      <c r="E590" s="1">
        <v>226152</v>
      </c>
      <c r="F590" s="2">
        <v>60185</v>
      </c>
    </row>
    <row r="591" spans="1:6" x14ac:dyDescent="0.3">
      <c r="A591">
        <v>2023</v>
      </c>
      <c r="B591" t="s">
        <v>57</v>
      </c>
      <c r="C591" t="s">
        <v>13</v>
      </c>
      <c r="D591" s="1">
        <v>3105</v>
      </c>
      <c r="E591" s="1">
        <v>167196</v>
      </c>
      <c r="F591" s="2">
        <v>59652</v>
      </c>
    </row>
    <row r="592" spans="1:6" x14ac:dyDescent="0.3">
      <c r="A592">
        <v>2023</v>
      </c>
      <c r="B592" t="s">
        <v>57</v>
      </c>
      <c r="C592" t="s">
        <v>14</v>
      </c>
      <c r="D592" s="1">
        <v>4583</v>
      </c>
      <c r="E592" s="1">
        <v>252626</v>
      </c>
      <c r="F592" s="2">
        <v>61167</v>
      </c>
    </row>
    <row r="593" spans="1:6" x14ac:dyDescent="0.3">
      <c r="A593">
        <v>2023</v>
      </c>
      <c r="B593" t="s">
        <v>57</v>
      </c>
      <c r="C593" t="s">
        <v>15</v>
      </c>
      <c r="D593" s="1">
        <v>4453</v>
      </c>
      <c r="E593" s="1">
        <v>137729</v>
      </c>
      <c r="F593" s="2">
        <v>77600</v>
      </c>
    </row>
    <row r="594" spans="1:6" x14ac:dyDescent="0.3">
      <c r="A594">
        <v>2023</v>
      </c>
      <c r="B594" t="s">
        <v>57</v>
      </c>
      <c r="C594" t="s">
        <v>16</v>
      </c>
      <c r="D594" s="1">
        <v>1870</v>
      </c>
      <c r="E594" s="1">
        <v>53047</v>
      </c>
      <c r="F594" s="2">
        <v>57227</v>
      </c>
    </row>
    <row r="595" spans="1:6" x14ac:dyDescent="0.3">
      <c r="A595">
        <v>2023</v>
      </c>
      <c r="B595" t="s">
        <v>57</v>
      </c>
      <c r="C595" t="s">
        <v>17</v>
      </c>
      <c r="D595" s="1">
        <v>4145</v>
      </c>
      <c r="E595" s="1">
        <v>112273</v>
      </c>
      <c r="F595" s="2">
        <v>79016</v>
      </c>
    </row>
    <row r="596" spans="1:6" x14ac:dyDescent="0.3">
      <c r="A596">
        <v>2023</v>
      </c>
      <c r="B596" t="s">
        <v>57</v>
      </c>
      <c r="C596" t="s">
        <v>18</v>
      </c>
      <c r="D596" s="1">
        <v>6682</v>
      </c>
      <c r="E596" s="1">
        <v>244258</v>
      </c>
      <c r="F596" s="2">
        <v>89698</v>
      </c>
    </row>
    <row r="597" spans="1:6" x14ac:dyDescent="0.3">
      <c r="A597">
        <v>2023</v>
      </c>
      <c r="B597" t="s">
        <v>57</v>
      </c>
      <c r="C597" t="s">
        <v>19</v>
      </c>
      <c r="D597" s="1">
        <v>16948</v>
      </c>
      <c r="E597" s="1">
        <v>625676</v>
      </c>
      <c r="F597" s="2">
        <v>68465</v>
      </c>
    </row>
    <row r="598" spans="1:6" x14ac:dyDescent="0.3">
      <c r="A598">
        <v>2023</v>
      </c>
      <c r="B598" t="s">
        <v>57</v>
      </c>
      <c r="C598" t="s">
        <v>20</v>
      </c>
      <c r="D598" s="1">
        <v>8265</v>
      </c>
      <c r="E598" s="1">
        <v>324018</v>
      </c>
      <c r="F598" s="2">
        <v>68082</v>
      </c>
    </row>
    <row r="599" spans="1:6" x14ac:dyDescent="0.3">
      <c r="A599">
        <v>2023</v>
      </c>
      <c r="B599" t="s">
        <v>57</v>
      </c>
      <c r="C599" t="s">
        <v>21</v>
      </c>
      <c r="D599" s="1">
        <v>2396</v>
      </c>
      <c r="E599" s="1">
        <v>146775</v>
      </c>
      <c r="F599" s="2">
        <v>50065</v>
      </c>
    </row>
    <row r="600" spans="1:6" x14ac:dyDescent="0.3">
      <c r="A600">
        <v>2023</v>
      </c>
      <c r="B600" t="s">
        <v>57</v>
      </c>
      <c r="C600" t="s">
        <v>22</v>
      </c>
      <c r="D600" s="1">
        <v>6681</v>
      </c>
      <c r="E600" s="1">
        <v>277104</v>
      </c>
      <c r="F600" s="2">
        <v>59758</v>
      </c>
    </row>
    <row r="601" spans="1:6" x14ac:dyDescent="0.3">
      <c r="A601">
        <v>2023</v>
      </c>
      <c r="B601" t="s">
        <v>57</v>
      </c>
      <c r="C601" t="s">
        <v>23</v>
      </c>
      <c r="D601" s="1">
        <v>1625</v>
      </c>
      <c r="E601" s="1">
        <v>20972</v>
      </c>
      <c r="F601" s="2">
        <v>51666</v>
      </c>
    </row>
    <row r="602" spans="1:6" x14ac:dyDescent="0.3">
      <c r="A602">
        <v>2023</v>
      </c>
      <c r="B602" t="s">
        <v>57</v>
      </c>
      <c r="C602" t="s">
        <v>24</v>
      </c>
      <c r="D602" s="1">
        <v>1974</v>
      </c>
      <c r="E602" s="1">
        <v>99914</v>
      </c>
      <c r="F602" s="2">
        <v>52716</v>
      </c>
    </row>
    <row r="603" spans="1:6" x14ac:dyDescent="0.3">
      <c r="A603">
        <v>2023</v>
      </c>
      <c r="B603" t="s">
        <v>57</v>
      </c>
      <c r="C603" t="s">
        <v>25</v>
      </c>
      <c r="D603" s="1">
        <v>2069</v>
      </c>
      <c r="E603" s="1">
        <v>59279</v>
      </c>
      <c r="F603" s="2">
        <v>59498</v>
      </c>
    </row>
    <row r="604" spans="1:6" x14ac:dyDescent="0.3">
      <c r="A604">
        <v>2023</v>
      </c>
      <c r="B604" t="s">
        <v>57</v>
      </c>
      <c r="C604" t="s">
        <v>26</v>
      </c>
      <c r="D604" s="1">
        <v>2012</v>
      </c>
      <c r="E604" s="1">
        <v>71459</v>
      </c>
      <c r="F604" s="2">
        <v>73007</v>
      </c>
    </row>
    <row r="605" spans="1:6" x14ac:dyDescent="0.3">
      <c r="A605">
        <v>2023</v>
      </c>
      <c r="B605" t="s">
        <v>57</v>
      </c>
      <c r="C605" t="s">
        <v>27</v>
      </c>
      <c r="D605" s="1">
        <v>8994</v>
      </c>
      <c r="E605" s="1">
        <v>249464</v>
      </c>
      <c r="F605" s="2">
        <v>81649</v>
      </c>
    </row>
    <row r="606" spans="1:6" x14ac:dyDescent="0.3">
      <c r="A606">
        <v>2023</v>
      </c>
      <c r="B606" t="s">
        <v>57</v>
      </c>
      <c r="C606" t="s">
        <v>28</v>
      </c>
      <c r="D606" s="1">
        <v>1810</v>
      </c>
      <c r="E606" s="1">
        <v>28514</v>
      </c>
      <c r="F606" s="2">
        <v>55737</v>
      </c>
    </row>
    <row r="607" spans="1:6" x14ac:dyDescent="0.3">
      <c r="A607">
        <v>2023</v>
      </c>
      <c r="B607" t="s">
        <v>57</v>
      </c>
      <c r="C607" t="s">
        <v>29</v>
      </c>
      <c r="D607" s="1">
        <v>16457</v>
      </c>
      <c r="E607" s="1">
        <v>437040</v>
      </c>
      <c r="F607" s="2">
        <v>69154</v>
      </c>
    </row>
    <row r="608" spans="1:6" x14ac:dyDescent="0.3">
      <c r="A608">
        <v>2023</v>
      </c>
      <c r="B608" t="s">
        <v>57</v>
      </c>
      <c r="C608" t="s">
        <v>30</v>
      </c>
      <c r="D608" s="1">
        <v>10247</v>
      </c>
      <c r="E608" s="1">
        <v>477086</v>
      </c>
      <c r="F608" s="2">
        <v>61095</v>
      </c>
    </row>
    <row r="609" spans="1:6" x14ac:dyDescent="0.3">
      <c r="A609">
        <v>2023</v>
      </c>
      <c r="B609" t="s">
        <v>57</v>
      </c>
      <c r="C609" t="s">
        <v>31</v>
      </c>
      <c r="D609">
        <v>808</v>
      </c>
      <c r="E609" s="1">
        <v>26471</v>
      </c>
      <c r="F609" s="2">
        <v>55179</v>
      </c>
    </row>
    <row r="610" spans="1:6" x14ac:dyDescent="0.3">
      <c r="A610">
        <v>2023</v>
      </c>
      <c r="B610" t="s">
        <v>57</v>
      </c>
      <c r="C610" t="s">
        <v>32</v>
      </c>
      <c r="D610" s="1">
        <v>15486</v>
      </c>
      <c r="E610" s="1">
        <v>700786</v>
      </c>
      <c r="F610" s="2">
        <v>62878</v>
      </c>
    </row>
    <row r="611" spans="1:6" x14ac:dyDescent="0.3">
      <c r="A611">
        <v>2023</v>
      </c>
      <c r="B611" t="s">
        <v>57</v>
      </c>
      <c r="C611" t="s">
        <v>33</v>
      </c>
      <c r="D611" s="1">
        <v>4213</v>
      </c>
      <c r="E611" s="1">
        <v>140812</v>
      </c>
      <c r="F611" s="2">
        <v>59951</v>
      </c>
    </row>
    <row r="612" spans="1:6" x14ac:dyDescent="0.3">
      <c r="A612">
        <v>2023</v>
      </c>
      <c r="B612" t="s">
        <v>57</v>
      </c>
      <c r="C612" t="s">
        <v>34</v>
      </c>
      <c r="D612" s="1">
        <v>6396</v>
      </c>
      <c r="E612" s="1">
        <v>197626</v>
      </c>
      <c r="F612" s="2">
        <v>71436</v>
      </c>
    </row>
    <row r="613" spans="1:6" x14ac:dyDescent="0.3">
      <c r="A613">
        <v>2023</v>
      </c>
      <c r="B613" t="s">
        <v>57</v>
      </c>
      <c r="C613" t="s">
        <v>35</v>
      </c>
      <c r="D613" s="1">
        <v>14432</v>
      </c>
      <c r="E613" s="1">
        <v>574751</v>
      </c>
      <c r="F613" s="2">
        <v>64231</v>
      </c>
    </row>
    <row r="614" spans="1:6" x14ac:dyDescent="0.3">
      <c r="A614">
        <v>2023</v>
      </c>
      <c r="B614" t="s">
        <v>57</v>
      </c>
      <c r="C614" t="s">
        <v>36</v>
      </c>
      <c r="D614" s="1">
        <v>1636</v>
      </c>
      <c r="E614" s="1">
        <v>39736</v>
      </c>
      <c r="F614" s="2">
        <v>60286</v>
      </c>
    </row>
    <row r="615" spans="1:6" x14ac:dyDescent="0.3">
      <c r="A615">
        <v>2023</v>
      </c>
      <c r="B615" t="s">
        <v>57</v>
      </c>
      <c r="C615" t="s">
        <v>37</v>
      </c>
      <c r="D615" s="1">
        <v>6414</v>
      </c>
      <c r="E615" s="1">
        <v>258252</v>
      </c>
      <c r="F615" s="2">
        <v>60850</v>
      </c>
    </row>
    <row r="616" spans="1:6" x14ac:dyDescent="0.3">
      <c r="A616">
        <v>2023</v>
      </c>
      <c r="B616" t="s">
        <v>57</v>
      </c>
      <c r="C616" t="s">
        <v>38</v>
      </c>
      <c r="D616" s="1">
        <v>1067</v>
      </c>
      <c r="E616" s="1">
        <v>44972</v>
      </c>
      <c r="F616" s="2">
        <v>50219</v>
      </c>
    </row>
    <row r="617" spans="1:6" x14ac:dyDescent="0.3">
      <c r="A617">
        <v>2023</v>
      </c>
      <c r="B617" t="s">
        <v>57</v>
      </c>
      <c r="C617" t="s">
        <v>39</v>
      </c>
      <c r="D617" s="1">
        <v>7272</v>
      </c>
      <c r="E617" s="1">
        <v>354961</v>
      </c>
      <c r="F617" s="2">
        <v>60305</v>
      </c>
    </row>
    <row r="618" spans="1:6" x14ac:dyDescent="0.3">
      <c r="A618">
        <v>2023</v>
      </c>
      <c r="B618" t="s">
        <v>57</v>
      </c>
      <c r="C618" t="s">
        <v>40</v>
      </c>
      <c r="D618" s="1">
        <v>25577</v>
      </c>
      <c r="E618" s="1">
        <v>905953</v>
      </c>
      <c r="F618" s="2">
        <v>79766</v>
      </c>
    </row>
    <row r="619" spans="1:6" x14ac:dyDescent="0.3">
      <c r="A619">
        <v>2023</v>
      </c>
      <c r="B619" t="s">
        <v>57</v>
      </c>
      <c r="C619" t="s">
        <v>41</v>
      </c>
      <c r="D619" s="1">
        <v>4547</v>
      </c>
      <c r="E619" s="1">
        <v>136085</v>
      </c>
      <c r="F619" s="2">
        <v>59426</v>
      </c>
    </row>
    <row r="620" spans="1:6" x14ac:dyDescent="0.3">
      <c r="A620">
        <v>2023</v>
      </c>
      <c r="B620" t="s">
        <v>57</v>
      </c>
      <c r="C620" t="s">
        <v>42</v>
      </c>
      <c r="D620" s="1">
        <v>1108</v>
      </c>
      <c r="E620" s="1">
        <v>30091</v>
      </c>
      <c r="F620" s="2">
        <v>60807</v>
      </c>
    </row>
    <row r="621" spans="1:6" x14ac:dyDescent="0.3">
      <c r="A621">
        <v>2023</v>
      </c>
      <c r="B621" t="s">
        <v>57</v>
      </c>
      <c r="C621" t="s">
        <v>43</v>
      </c>
      <c r="D621" s="1">
        <v>6864</v>
      </c>
      <c r="E621" s="1">
        <v>242160</v>
      </c>
      <c r="F621" s="2">
        <v>61341</v>
      </c>
    </row>
    <row r="622" spans="1:6" x14ac:dyDescent="0.3">
      <c r="A622">
        <v>2023</v>
      </c>
      <c r="B622" t="s">
        <v>57</v>
      </c>
      <c r="C622" t="s">
        <v>44</v>
      </c>
      <c r="D622" s="1">
        <v>7824</v>
      </c>
      <c r="E622" s="1">
        <v>290326</v>
      </c>
      <c r="F622" s="2">
        <v>81228</v>
      </c>
    </row>
    <row r="623" spans="1:6" x14ac:dyDescent="0.3">
      <c r="A623">
        <v>2023</v>
      </c>
      <c r="B623" t="s">
        <v>57</v>
      </c>
      <c r="C623" t="s">
        <v>45</v>
      </c>
      <c r="D623" s="1">
        <v>1251</v>
      </c>
      <c r="E623" s="1">
        <v>46979</v>
      </c>
      <c r="F623" s="2">
        <v>61074</v>
      </c>
    </row>
    <row r="624" spans="1:6" x14ac:dyDescent="0.3">
      <c r="A624">
        <v>2023</v>
      </c>
      <c r="B624" t="s">
        <v>57</v>
      </c>
      <c r="C624" t="s">
        <v>46</v>
      </c>
      <c r="D624" s="1">
        <v>9333</v>
      </c>
      <c r="E624" s="1">
        <v>483196</v>
      </c>
      <c r="F624" s="2">
        <v>59083</v>
      </c>
    </row>
    <row r="625" spans="1:6" x14ac:dyDescent="0.3">
      <c r="A625">
        <v>2023</v>
      </c>
      <c r="B625" t="s">
        <v>57</v>
      </c>
      <c r="C625" t="s">
        <v>47</v>
      </c>
      <c r="D625">
        <v>615</v>
      </c>
      <c r="E625" s="1">
        <v>10043</v>
      </c>
      <c r="F625" s="2">
        <v>68738</v>
      </c>
    </row>
    <row r="626" spans="1:6" x14ac:dyDescent="0.3">
      <c r="A626">
        <v>2023</v>
      </c>
      <c r="B626" t="s">
        <v>58</v>
      </c>
      <c r="C626" t="s">
        <v>0</v>
      </c>
      <c r="D626" s="1">
        <v>32423</v>
      </c>
      <c r="E626" s="1">
        <v>380193</v>
      </c>
      <c r="F626" s="2">
        <v>43426</v>
      </c>
    </row>
    <row r="627" spans="1:6" x14ac:dyDescent="0.3">
      <c r="A627">
        <v>2023</v>
      </c>
      <c r="B627" t="s">
        <v>58</v>
      </c>
      <c r="C627" t="s">
        <v>1</v>
      </c>
      <c r="D627" s="1">
        <v>33190</v>
      </c>
      <c r="E627" s="1">
        <v>541793</v>
      </c>
      <c r="F627" s="2">
        <v>48023</v>
      </c>
    </row>
    <row r="628" spans="1:6" x14ac:dyDescent="0.3">
      <c r="A628">
        <v>2023</v>
      </c>
      <c r="B628" t="s">
        <v>58</v>
      </c>
      <c r="C628" t="s">
        <v>2</v>
      </c>
      <c r="D628" s="1">
        <v>21821</v>
      </c>
      <c r="E628" s="1">
        <v>248631</v>
      </c>
      <c r="F628" s="2">
        <v>42897</v>
      </c>
    </row>
    <row r="629" spans="1:6" x14ac:dyDescent="0.3">
      <c r="A629">
        <v>2023</v>
      </c>
      <c r="B629" t="s">
        <v>58</v>
      </c>
      <c r="C629" t="s">
        <v>3</v>
      </c>
      <c r="D629" s="1">
        <v>198955</v>
      </c>
      <c r="E629" s="1">
        <v>3042089</v>
      </c>
      <c r="F629" s="2">
        <v>54908</v>
      </c>
    </row>
    <row r="630" spans="1:6" x14ac:dyDescent="0.3">
      <c r="A630">
        <v>2023</v>
      </c>
      <c r="B630" t="s">
        <v>58</v>
      </c>
      <c r="C630" t="s">
        <v>4</v>
      </c>
      <c r="D630" s="1">
        <v>36041</v>
      </c>
      <c r="E630" s="1">
        <v>474011</v>
      </c>
      <c r="F630" s="2">
        <v>52675</v>
      </c>
    </row>
    <row r="631" spans="1:6" x14ac:dyDescent="0.3">
      <c r="A631">
        <v>2023</v>
      </c>
      <c r="B631" t="s">
        <v>58</v>
      </c>
      <c r="C631" t="s">
        <v>5</v>
      </c>
      <c r="D631" s="1">
        <v>24868</v>
      </c>
      <c r="E631" s="1">
        <v>291966</v>
      </c>
      <c r="F631" s="2">
        <v>52540</v>
      </c>
    </row>
    <row r="632" spans="1:6" x14ac:dyDescent="0.3">
      <c r="A632">
        <v>2023</v>
      </c>
      <c r="B632" t="s">
        <v>58</v>
      </c>
      <c r="C632" t="s">
        <v>6</v>
      </c>
      <c r="D632" s="1">
        <v>7005</v>
      </c>
      <c r="E632" s="1">
        <v>79487</v>
      </c>
      <c r="F632" s="2">
        <v>42440</v>
      </c>
    </row>
    <row r="633" spans="1:6" x14ac:dyDescent="0.3">
      <c r="A633">
        <v>2023</v>
      </c>
      <c r="B633" t="s">
        <v>58</v>
      </c>
      <c r="C633" t="s">
        <v>7</v>
      </c>
      <c r="D633" s="1">
        <v>140278</v>
      </c>
      <c r="E633" s="1">
        <v>1799930</v>
      </c>
      <c r="F633" s="2">
        <v>46232</v>
      </c>
    </row>
    <row r="634" spans="1:6" x14ac:dyDescent="0.3">
      <c r="A634">
        <v>2023</v>
      </c>
      <c r="B634" t="s">
        <v>58</v>
      </c>
      <c r="C634" t="s">
        <v>8</v>
      </c>
      <c r="D634" s="1">
        <v>61774</v>
      </c>
      <c r="E634" s="1">
        <v>938063</v>
      </c>
      <c r="F634" s="2">
        <v>49817</v>
      </c>
    </row>
    <row r="635" spans="1:6" x14ac:dyDescent="0.3">
      <c r="A635">
        <v>2023</v>
      </c>
      <c r="B635" t="s">
        <v>58</v>
      </c>
      <c r="C635" t="s">
        <v>9</v>
      </c>
      <c r="D635" s="1">
        <v>11892</v>
      </c>
      <c r="E635" s="1">
        <v>142186</v>
      </c>
      <c r="F635" s="2">
        <v>41533</v>
      </c>
    </row>
    <row r="636" spans="1:6" x14ac:dyDescent="0.3">
      <c r="A636">
        <v>2023</v>
      </c>
      <c r="B636" t="s">
        <v>58</v>
      </c>
      <c r="C636" t="s">
        <v>10</v>
      </c>
      <c r="D636" s="1">
        <v>78822</v>
      </c>
      <c r="E636" s="1">
        <v>1187941</v>
      </c>
      <c r="F636" s="2">
        <v>53573</v>
      </c>
    </row>
    <row r="637" spans="1:6" x14ac:dyDescent="0.3">
      <c r="A637">
        <v>2023</v>
      </c>
      <c r="B637" t="s">
        <v>58</v>
      </c>
      <c r="C637" t="s">
        <v>11</v>
      </c>
      <c r="D637" s="1">
        <v>40283</v>
      </c>
      <c r="E637" s="1">
        <v>594348</v>
      </c>
      <c r="F637" s="2">
        <v>43345</v>
      </c>
    </row>
    <row r="638" spans="1:6" x14ac:dyDescent="0.3">
      <c r="A638">
        <v>2023</v>
      </c>
      <c r="B638" t="s">
        <v>58</v>
      </c>
      <c r="C638" t="s">
        <v>12</v>
      </c>
      <c r="D638" s="1">
        <v>23557</v>
      </c>
      <c r="E638" s="1">
        <v>307822</v>
      </c>
      <c r="F638" s="2">
        <v>41407</v>
      </c>
    </row>
    <row r="639" spans="1:6" x14ac:dyDescent="0.3">
      <c r="A639">
        <v>2023</v>
      </c>
      <c r="B639" t="s">
        <v>58</v>
      </c>
      <c r="C639" t="s">
        <v>13</v>
      </c>
      <c r="D639" s="1">
        <v>19844</v>
      </c>
      <c r="E639" s="1">
        <v>262383</v>
      </c>
      <c r="F639" s="2">
        <v>43539</v>
      </c>
    </row>
    <row r="640" spans="1:6" x14ac:dyDescent="0.3">
      <c r="A640">
        <v>2023</v>
      </c>
      <c r="B640" t="s">
        <v>58</v>
      </c>
      <c r="C640" t="s">
        <v>14</v>
      </c>
      <c r="D640" s="1">
        <v>27892</v>
      </c>
      <c r="E640" s="1">
        <v>401804</v>
      </c>
      <c r="F640" s="2">
        <v>44163</v>
      </c>
    </row>
    <row r="641" spans="1:6" x14ac:dyDescent="0.3">
      <c r="A641">
        <v>2023</v>
      </c>
      <c r="B641" t="s">
        <v>58</v>
      </c>
      <c r="C641" t="s">
        <v>15</v>
      </c>
      <c r="D641" s="1">
        <v>30876</v>
      </c>
      <c r="E641" s="1">
        <v>376026</v>
      </c>
      <c r="F641" s="2">
        <v>43579</v>
      </c>
    </row>
    <row r="642" spans="1:6" x14ac:dyDescent="0.3">
      <c r="A642">
        <v>2023</v>
      </c>
      <c r="B642" t="s">
        <v>58</v>
      </c>
      <c r="C642" t="s">
        <v>16</v>
      </c>
      <c r="D642" s="1">
        <v>10676</v>
      </c>
      <c r="E642" s="1">
        <v>117746</v>
      </c>
      <c r="F642" s="2">
        <v>39115</v>
      </c>
    </row>
    <row r="643" spans="1:6" x14ac:dyDescent="0.3">
      <c r="A643">
        <v>2023</v>
      </c>
      <c r="B643" t="s">
        <v>58</v>
      </c>
      <c r="C643" t="s">
        <v>17</v>
      </c>
      <c r="D643" s="1">
        <v>32640</v>
      </c>
      <c r="E643" s="1">
        <v>463647</v>
      </c>
      <c r="F643" s="2">
        <v>47503</v>
      </c>
    </row>
    <row r="644" spans="1:6" x14ac:dyDescent="0.3">
      <c r="A644">
        <v>2023</v>
      </c>
      <c r="B644" t="s">
        <v>58</v>
      </c>
      <c r="C644" t="s">
        <v>18</v>
      </c>
      <c r="D644" s="1">
        <v>41620</v>
      </c>
      <c r="E644" s="1">
        <v>577282</v>
      </c>
      <c r="F644" s="2">
        <v>55423</v>
      </c>
    </row>
    <row r="645" spans="1:6" x14ac:dyDescent="0.3">
      <c r="A645">
        <v>2023</v>
      </c>
      <c r="B645" t="s">
        <v>58</v>
      </c>
      <c r="C645" t="s">
        <v>19</v>
      </c>
      <c r="D645" s="1">
        <v>55150</v>
      </c>
      <c r="E645" s="1">
        <v>791177</v>
      </c>
      <c r="F645" s="2">
        <v>48357</v>
      </c>
    </row>
    <row r="646" spans="1:6" x14ac:dyDescent="0.3">
      <c r="A646">
        <v>2023</v>
      </c>
      <c r="B646" t="s">
        <v>58</v>
      </c>
      <c r="C646" t="s">
        <v>20</v>
      </c>
      <c r="D646" s="1">
        <v>37323</v>
      </c>
      <c r="E646" s="1">
        <v>525857</v>
      </c>
      <c r="F646" s="2">
        <v>50523</v>
      </c>
    </row>
    <row r="647" spans="1:6" x14ac:dyDescent="0.3">
      <c r="A647">
        <v>2023</v>
      </c>
      <c r="B647" t="s">
        <v>58</v>
      </c>
      <c r="C647" t="s">
        <v>21</v>
      </c>
      <c r="D647" s="1">
        <v>19568</v>
      </c>
      <c r="E647" s="1">
        <v>229039</v>
      </c>
      <c r="F647" s="2">
        <v>37621</v>
      </c>
    </row>
    <row r="648" spans="1:6" x14ac:dyDescent="0.3">
      <c r="A648">
        <v>2023</v>
      </c>
      <c r="B648" t="s">
        <v>58</v>
      </c>
      <c r="C648" t="s">
        <v>22</v>
      </c>
      <c r="D648" s="1">
        <v>39400</v>
      </c>
      <c r="E648" s="1">
        <v>536753</v>
      </c>
      <c r="F648" s="2">
        <v>43646</v>
      </c>
    </row>
    <row r="649" spans="1:6" x14ac:dyDescent="0.3">
      <c r="A649">
        <v>2023</v>
      </c>
      <c r="B649" t="s">
        <v>58</v>
      </c>
      <c r="C649" t="s">
        <v>23</v>
      </c>
      <c r="D649" s="1">
        <v>9112</v>
      </c>
      <c r="E649" s="1">
        <v>90946</v>
      </c>
      <c r="F649" s="2">
        <v>40937</v>
      </c>
    </row>
    <row r="650" spans="1:6" x14ac:dyDescent="0.3">
      <c r="A650">
        <v>2023</v>
      </c>
      <c r="B650" t="s">
        <v>58</v>
      </c>
      <c r="C650" t="s">
        <v>24</v>
      </c>
      <c r="D650" s="1">
        <v>14969</v>
      </c>
      <c r="E650" s="1">
        <v>188094</v>
      </c>
      <c r="F650" s="2">
        <v>41557</v>
      </c>
    </row>
    <row r="651" spans="1:6" x14ac:dyDescent="0.3">
      <c r="A651">
        <v>2023</v>
      </c>
      <c r="B651" t="s">
        <v>58</v>
      </c>
      <c r="C651" t="s">
        <v>25</v>
      </c>
      <c r="D651" s="1">
        <v>15866</v>
      </c>
      <c r="E651" s="1">
        <v>261018</v>
      </c>
      <c r="F651" s="2">
        <v>45452</v>
      </c>
    </row>
    <row r="652" spans="1:6" x14ac:dyDescent="0.3">
      <c r="A652">
        <v>2023</v>
      </c>
      <c r="B652" t="s">
        <v>58</v>
      </c>
      <c r="C652" t="s">
        <v>26</v>
      </c>
      <c r="D652" s="1">
        <v>12448</v>
      </c>
      <c r="E652" s="1">
        <v>139278</v>
      </c>
      <c r="F652" s="2">
        <v>49409</v>
      </c>
    </row>
    <row r="653" spans="1:6" x14ac:dyDescent="0.3">
      <c r="A653">
        <v>2023</v>
      </c>
      <c r="B653" t="s">
        <v>58</v>
      </c>
      <c r="C653" t="s">
        <v>27</v>
      </c>
      <c r="D653" s="1">
        <v>54227</v>
      </c>
      <c r="E653" s="1">
        <v>876452</v>
      </c>
      <c r="F653" s="2">
        <v>55204</v>
      </c>
    </row>
    <row r="654" spans="1:6" x14ac:dyDescent="0.3">
      <c r="A654">
        <v>2023</v>
      </c>
      <c r="B654" t="s">
        <v>58</v>
      </c>
      <c r="C654" t="s">
        <v>28</v>
      </c>
      <c r="D654" s="1">
        <v>10974</v>
      </c>
      <c r="E654" s="1">
        <v>135131</v>
      </c>
      <c r="F654" s="2">
        <v>39275</v>
      </c>
    </row>
    <row r="655" spans="1:6" x14ac:dyDescent="0.3">
      <c r="A655">
        <v>2023</v>
      </c>
      <c r="B655" t="s">
        <v>58</v>
      </c>
      <c r="C655" t="s">
        <v>29</v>
      </c>
      <c r="D655" s="1">
        <v>120950</v>
      </c>
      <c r="E655" s="1">
        <v>1543991</v>
      </c>
      <c r="F655" s="2">
        <v>53710</v>
      </c>
    </row>
    <row r="656" spans="1:6" x14ac:dyDescent="0.3">
      <c r="A656">
        <v>2023</v>
      </c>
      <c r="B656" t="s">
        <v>58</v>
      </c>
      <c r="C656" t="s">
        <v>30</v>
      </c>
      <c r="D656" s="1">
        <v>62397</v>
      </c>
      <c r="E656" s="1">
        <v>846177</v>
      </c>
      <c r="F656" s="2">
        <v>44579</v>
      </c>
    </row>
    <row r="657" spans="1:6" x14ac:dyDescent="0.3">
      <c r="A657">
        <v>2023</v>
      </c>
      <c r="B657" t="s">
        <v>58</v>
      </c>
      <c r="C657" t="s">
        <v>31</v>
      </c>
      <c r="D657" s="1">
        <v>7738</v>
      </c>
      <c r="E657" s="1">
        <v>91333</v>
      </c>
      <c r="F657" s="2">
        <v>51925</v>
      </c>
    </row>
    <row r="658" spans="1:6" x14ac:dyDescent="0.3">
      <c r="A658">
        <v>2023</v>
      </c>
      <c r="B658" t="s">
        <v>58</v>
      </c>
      <c r="C658" t="s">
        <v>32</v>
      </c>
      <c r="D658" s="1">
        <v>68958</v>
      </c>
      <c r="E658" s="1">
        <v>1021890</v>
      </c>
      <c r="F658" s="2">
        <v>45569</v>
      </c>
    </row>
    <row r="659" spans="1:6" x14ac:dyDescent="0.3">
      <c r="A659">
        <v>2023</v>
      </c>
      <c r="B659" t="s">
        <v>58</v>
      </c>
      <c r="C659" t="s">
        <v>33</v>
      </c>
      <c r="D659" s="1">
        <v>23883</v>
      </c>
      <c r="E659" s="1">
        <v>300268</v>
      </c>
      <c r="F659" s="2">
        <v>43049</v>
      </c>
    </row>
    <row r="660" spans="1:6" x14ac:dyDescent="0.3">
      <c r="A660">
        <v>2023</v>
      </c>
      <c r="B660" t="s">
        <v>58</v>
      </c>
      <c r="C660" t="s">
        <v>34</v>
      </c>
      <c r="D660" s="1">
        <v>26460</v>
      </c>
      <c r="E660" s="1">
        <v>354168</v>
      </c>
      <c r="F660" s="2">
        <v>45879</v>
      </c>
    </row>
    <row r="661" spans="1:6" x14ac:dyDescent="0.3">
      <c r="A661">
        <v>2023</v>
      </c>
      <c r="B661" t="s">
        <v>58</v>
      </c>
      <c r="C661" t="s">
        <v>35</v>
      </c>
      <c r="D661" s="1">
        <v>74684</v>
      </c>
      <c r="E661" s="1">
        <v>1117033</v>
      </c>
      <c r="F661" s="2">
        <v>46296</v>
      </c>
    </row>
    <row r="662" spans="1:6" x14ac:dyDescent="0.3">
      <c r="A662">
        <v>2023</v>
      </c>
      <c r="B662" t="s">
        <v>58</v>
      </c>
      <c r="C662" t="s">
        <v>36</v>
      </c>
      <c r="D662" s="1">
        <v>7648</v>
      </c>
      <c r="E662" s="1">
        <v>76672</v>
      </c>
      <c r="F662" s="2">
        <v>45232</v>
      </c>
    </row>
    <row r="663" spans="1:6" x14ac:dyDescent="0.3">
      <c r="A663">
        <v>2023</v>
      </c>
      <c r="B663" t="s">
        <v>58</v>
      </c>
      <c r="C663" t="s">
        <v>37</v>
      </c>
      <c r="D663" s="1">
        <v>31073</v>
      </c>
      <c r="E663" s="1">
        <v>406455</v>
      </c>
      <c r="F663" s="2">
        <v>41048</v>
      </c>
    </row>
    <row r="664" spans="1:6" x14ac:dyDescent="0.3">
      <c r="A664">
        <v>2023</v>
      </c>
      <c r="B664" t="s">
        <v>58</v>
      </c>
      <c r="C664" t="s">
        <v>38</v>
      </c>
      <c r="D664" s="1">
        <v>8027</v>
      </c>
      <c r="E664" s="1">
        <v>85125</v>
      </c>
      <c r="F664" s="2">
        <v>40980</v>
      </c>
    </row>
    <row r="665" spans="1:6" x14ac:dyDescent="0.3">
      <c r="A665">
        <v>2023</v>
      </c>
      <c r="B665" t="s">
        <v>58</v>
      </c>
      <c r="C665" t="s">
        <v>39</v>
      </c>
      <c r="D665" s="1">
        <v>40380</v>
      </c>
      <c r="E665" s="1">
        <v>633819</v>
      </c>
      <c r="F665" s="2">
        <v>46991</v>
      </c>
    </row>
    <row r="666" spans="1:6" x14ac:dyDescent="0.3">
      <c r="A666">
        <v>2023</v>
      </c>
      <c r="B666" t="s">
        <v>58</v>
      </c>
      <c r="C666" t="s">
        <v>40</v>
      </c>
      <c r="D666" s="1">
        <v>150310</v>
      </c>
      <c r="E666" s="1">
        <v>2496193</v>
      </c>
      <c r="F666" s="2">
        <v>54323</v>
      </c>
    </row>
    <row r="667" spans="1:6" x14ac:dyDescent="0.3">
      <c r="A667">
        <v>2023</v>
      </c>
      <c r="B667" t="s">
        <v>58</v>
      </c>
      <c r="C667" t="s">
        <v>41</v>
      </c>
      <c r="D667" s="1">
        <v>20066</v>
      </c>
      <c r="E667" s="1">
        <v>289140</v>
      </c>
      <c r="F667" s="2">
        <v>45785</v>
      </c>
    </row>
    <row r="668" spans="1:6" x14ac:dyDescent="0.3">
      <c r="A668">
        <v>2023</v>
      </c>
      <c r="B668" t="s">
        <v>58</v>
      </c>
      <c r="C668" t="s">
        <v>42</v>
      </c>
      <c r="D668" s="1">
        <v>5040</v>
      </c>
      <c r="E668" s="1">
        <v>53817</v>
      </c>
      <c r="F668" s="2">
        <v>41456</v>
      </c>
    </row>
    <row r="669" spans="1:6" x14ac:dyDescent="0.3">
      <c r="A669">
        <v>2023</v>
      </c>
      <c r="B669" t="s">
        <v>58</v>
      </c>
      <c r="C669" t="s">
        <v>43</v>
      </c>
      <c r="D669" s="1">
        <v>42839</v>
      </c>
      <c r="E669" s="1">
        <v>650148</v>
      </c>
      <c r="F669" s="2">
        <v>45486</v>
      </c>
    </row>
    <row r="670" spans="1:6" x14ac:dyDescent="0.3">
      <c r="A670">
        <v>2023</v>
      </c>
      <c r="B670" t="s">
        <v>58</v>
      </c>
      <c r="C670" t="s">
        <v>44</v>
      </c>
      <c r="D670" s="1">
        <v>38692</v>
      </c>
      <c r="E670" s="1">
        <v>628543</v>
      </c>
      <c r="F670" s="2">
        <v>67312</v>
      </c>
    </row>
    <row r="671" spans="1:6" x14ac:dyDescent="0.3">
      <c r="A671">
        <v>2023</v>
      </c>
      <c r="B671" t="s">
        <v>58</v>
      </c>
      <c r="C671" t="s">
        <v>45</v>
      </c>
      <c r="D671" s="1">
        <v>10709</v>
      </c>
      <c r="E671" s="1">
        <v>125470</v>
      </c>
      <c r="F671" s="2">
        <v>40148</v>
      </c>
    </row>
    <row r="672" spans="1:6" x14ac:dyDescent="0.3">
      <c r="A672">
        <v>2023</v>
      </c>
      <c r="B672" t="s">
        <v>58</v>
      </c>
      <c r="C672" t="s">
        <v>46</v>
      </c>
      <c r="D672" s="1">
        <v>36253</v>
      </c>
      <c r="E672" s="1">
        <v>533175</v>
      </c>
      <c r="F672" s="2">
        <v>42647</v>
      </c>
    </row>
    <row r="673" spans="1:6" x14ac:dyDescent="0.3">
      <c r="A673">
        <v>2023</v>
      </c>
      <c r="B673" t="s">
        <v>58</v>
      </c>
      <c r="C673" t="s">
        <v>47</v>
      </c>
      <c r="D673" s="1">
        <v>4819</v>
      </c>
      <c r="E673" s="1">
        <v>49901</v>
      </c>
      <c r="F673" s="2">
        <v>44408</v>
      </c>
    </row>
    <row r="674" spans="1:6" x14ac:dyDescent="0.3">
      <c r="A674">
        <v>2023</v>
      </c>
      <c r="B674" t="s">
        <v>59</v>
      </c>
      <c r="C674" t="s">
        <v>0</v>
      </c>
      <c r="D674" s="1">
        <v>2309</v>
      </c>
      <c r="E674" s="1">
        <v>21296</v>
      </c>
      <c r="F674" s="2">
        <v>62845</v>
      </c>
    </row>
    <row r="675" spans="1:6" x14ac:dyDescent="0.3">
      <c r="A675">
        <v>2023</v>
      </c>
      <c r="B675" t="s">
        <v>59</v>
      </c>
      <c r="C675" t="s">
        <v>1</v>
      </c>
      <c r="D675" s="1">
        <v>3691</v>
      </c>
      <c r="E675" s="1">
        <v>49188</v>
      </c>
      <c r="F675" s="2">
        <v>77822</v>
      </c>
    </row>
    <row r="676" spans="1:6" x14ac:dyDescent="0.3">
      <c r="A676">
        <v>2023</v>
      </c>
      <c r="B676" t="s">
        <v>59</v>
      </c>
      <c r="C676" t="s">
        <v>2</v>
      </c>
      <c r="D676" s="1">
        <v>1303</v>
      </c>
      <c r="E676" s="1">
        <v>10974</v>
      </c>
      <c r="F676" s="2">
        <v>57981</v>
      </c>
    </row>
    <row r="677" spans="1:6" x14ac:dyDescent="0.3">
      <c r="A677">
        <v>2023</v>
      </c>
      <c r="B677" t="s">
        <v>59</v>
      </c>
      <c r="C677" t="s">
        <v>3</v>
      </c>
      <c r="D677" s="1">
        <v>28529</v>
      </c>
      <c r="E677" s="1">
        <v>550084</v>
      </c>
      <c r="F677" s="2">
        <v>191278</v>
      </c>
    </row>
    <row r="678" spans="1:6" x14ac:dyDescent="0.3">
      <c r="A678">
        <v>2023</v>
      </c>
      <c r="B678" t="s">
        <v>59</v>
      </c>
      <c r="C678" t="s">
        <v>4</v>
      </c>
      <c r="D678" s="1">
        <v>4330</v>
      </c>
      <c r="E678" s="1">
        <v>76292</v>
      </c>
      <c r="F678" s="2">
        <v>109380</v>
      </c>
    </row>
    <row r="679" spans="1:6" x14ac:dyDescent="0.3">
      <c r="A679">
        <v>2023</v>
      </c>
      <c r="B679" t="s">
        <v>59</v>
      </c>
      <c r="C679" t="s">
        <v>5</v>
      </c>
      <c r="D679" s="1">
        <v>2551</v>
      </c>
      <c r="E679" s="1">
        <v>31469</v>
      </c>
      <c r="F679" s="2">
        <v>120406</v>
      </c>
    </row>
    <row r="680" spans="1:6" x14ac:dyDescent="0.3">
      <c r="A680">
        <v>2023</v>
      </c>
      <c r="B680" t="s">
        <v>59</v>
      </c>
      <c r="C680" t="s">
        <v>6</v>
      </c>
      <c r="D680">
        <v>497</v>
      </c>
      <c r="E680" s="1">
        <v>3905</v>
      </c>
      <c r="F680" s="2">
        <v>70031</v>
      </c>
    </row>
    <row r="681" spans="1:6" x14ac:dyDescent="0.3">
      <c r="A681">
        <v>2023</v>
      </c>
      <c r="B681" t="s">
        <v>59</v>
      </c>
      <c r="C681" t="s">
        <v>7</v>
      </c>
      <c r="D681" s="1">
        <v>11744</v>
      </c>
      <c r="E681" s="1">
        <v>138845</v>
      </c>
      <c r="F681" s="2">
        <v>86153</v>
      </c>
    </row>
    <row r="682" spans="1:6" x14ac:dyDescent="0.3">
      <c r="A682">
        <v>2023</v>
      </c>
      <c r="B682" t="s">
        <v>59</v>
      </c>
      <c r="C682" t="s">
        <v>8</v>
      </c>
      <c r="D682" s="1">
        <v>5380</v>
      </c>
      <c r="E682" s="1">
        <v>116215</v>
      </c>
      <c r="F682" s="2">
        <v>100462</v>
      </c>
    </row>
    <row r="683" spans="1:6" x14ac:dyDescent="0.3">
      <c r="A683">
        <v>2023</v>
      </c>
      <c r="B683" t="s">
        <v>59</v>
      </c>
      <c r="C683" t="s">
        <v>9</v>
      </c>
      <c r="D683" s="1">
        <v>1231</v>
      </c>
      <c r="E683" s="1">
        <v>8802</v>
      </c>
      <c r="F683" s="2">
        <v>56211</v>
      </c>
    </row>
    <row r="684" spans="1:6" x14ac:dyDescent="0.3">
      <c r="A684">
        <v>2023</v>
      </c>
      <c r="B684" t="s">
        <v>59</v>
      </c>
      <c r="C684" t="s">
        <v>10</v>
      </c>
      <c r="D684" s="1">
        <v>6998</v>
      </c>
      <c r="E684" s="1">
        <v>94879</v>
      </c>
      <c r="F684" s="2">
        <v>96732</v>
      </c>
    </row>
    <row r="685" spans="1:6" x14ac:dyDescent="0.3">
      <c r="A685">
        <v>2023</v>
      </c>
      <c r="B685" t="s">
        <v>59</v>
      </c>
      <c r="C685" t="s">
        <v>11</v>
      </c>
      <c r="D685" s="1">
        <v>2278</v>
      </c>
      <c r="E685" s="1">
        <v>28628</v>
      </c>
      <c r="F685" s="2">
        <v>62444</v>
      </c>
    </row>
    <row r="686" spans="1:6" x14ac:dyDescent="0.3">
      <c r="A686">
        <v>2023</v>
      </c>
      <c r="B686" t="s">
        <v>59</v>
      </c>
      <c r="C686" t="s">
        <v>12</v>
      </c>
      <c r="D686" s="1">
        <v>1778</v>
      </c>
      <c r="E686" s="1">
        <v>21356</v>
      </c>
      <c r="F686" s="2">
        <v>60664</v>
      </c>
    </row>
    <row r="687" spans="1:6" x14ac:dyDescent="0.3">
      <c r="A687">
        <v>2023</v>
      </c>
      <c r="B687" t="s">
        <v>59</v>
      </c>
      <c r="C687" t="s">
        <v>13</v>
      </c>
      <c r="D687" s="1">
        <v>1386</v>
      </c>
      <c r="E687" s="1">
        <v>18137</v>
      </c>
      <c r="F687" s="2">
        <v>66434</v>
      </c>
    </row>
    <row r="688" spans="1:6" x14ac:dyDescent="0.3">
      <c r="A688">
        <v>2023</v>
      </c>
      <c r="B688" t="s">
        <v>59</v>
      </c>
      <c r="C688" t="s">
        <v>14</v>
      </c>
      <c r="D688" s="1">
        <v>1924</v>
      </c>
      <c r="E688" s="1">
        <v>21670</v>
      </c>
      <c r="F688" s="2">
        <v>58590</v>
      </c>
    </row>
    <row r="689" spans="1:6" x14ac:dyDescent="0.3">
      <c r="A689">
        <v>2023</v>
      </c>
      <c r="B689" t="s">
        <v>59</v>
      </c>
      <c r="C689" t="s">
        <v>15</v>
      </c>
      <c r="D689" s="1">
        <v>1801</v>
      </c>
      <c r="E689" s="1">
        <v>22427</v>
      </c>
      <c r="F689" s="2">
        <v>60638</v>
      </c>
    </row>
    <row r="690" spans="1:6" x14ac:dyDescent="0.3">
      <c r="A690">
        <v>2023</v>
      </c>
      <c r="B690" t="s">
        <v>59</v>
      </c>
      <c r="C690" t="s">
        <v>16</v>
      </c>
      <c r="D690">
        <v>869</v>
      </c>
      <c r="E690" s="1">
        <v>7158</v>
      </c>
      <c r="F690" s="2">
        <v>57442</v>
      </c>
    </row>
    <row r="691" spans="1:6" x14ac:dyDescent="0.3">
      <c r="A691">
        <v>2023</v>
      </c>
      <c r="B691" t="s">
        <v>59</v>
      </c>
      <c r="C691" t="s">
        <v>17</v>
      </c>
      <c r="D691" s="1">
        <v>2846</v>
      </c>
      <c r="E691" s="1">
        <v>35678</v>
      </c>
      <c r="F691" s="2">
        <v>98834</v>
      </c>
    </row>
    <row r="692" spans="1:6" x14ac:dyDescent="0.3">
      <c r="A692">
        <v>2023</v>
      </c>
      <c r="B692" t="s">
        <v>59</v>
      </c>
      <c r="C692" t="s">
        <v>18</v>
      </c>
      <c r="D692" s="1">
        <v>5717</v>
      </c>
      <c r="E692" s="1">
        <v>93033</v>
      </c>
      <c r="F692" s="2">
        <v>128022</v>
      </c>
    </row>
    <row r="693" spans="1:6" x14ac:dyDescent="0.3">
      <c r="A693">
        <v>2023</v>
      </c>
      <c r="B693" t="s">
        <v>59</v>
      </c>
      <c r="C693" t="s">
        <v>19</v>
      </c>
      <c r="D693" s="1">
        <v>7146</v>
      </c>
      <c r="E693" s="1">
        <v>55298</v>
      </c>
      <c r="F693" s="2">
        <v>77504</v>
      </c>
    </row>
    <row r="694" spans="1:6" x14ac:dyDescent="0.3">
      <c r="A694">
        <v>2023</v>
      </c>
      <c r="B694" t="s">
        <v>59</v>
      </c>
      <c r="C694" t="s">
        <v>20</v>
      </c>
      <c r="D694" s="1">
        <v>4133</v>
      </c>
      <c r="E694" s="1">
        <v>46906</v>
      </c>
      <c r="F694" s="2">
        <v>83846</v>
      </c>
    </row>
    <row r="695" spans="1:6" x14ac:dyDescent="0.3">
      <c r="A695">
        <v>2023</v>
      </c>
      <c r="B695" t="s">
        <v>59</v>
      </c>
      <c r="C695" t="s">
        <v>21</v>
      </c>
      <c r="D695">
        <v>944</v>
      </c>
      <c r="E695" s="1">
        <v>10695</v>
      </c>
      <c r="F695" s="2">
        <v>49438</v>
      </c>
    </row>
    <row r="696" spans="1:6" x14ac:dyDescent="0.3">
      <c r="A696">
        <v>2023</v>
      </c>
      <c r="B696" t="s">
        <v>59</v>
      </c>
      <c r="C696" t="s">
        <v>22</v>
      </c>
      <c r="D696" s="1">
        <v>3310</v>
      </c>
      <c r="E696" s="1">
        <v>46729</v>
      </c>
      <c r="F696" s="2">
        <v>85960</v>
      </c>
    </row>
    <row r="697" spans="1:6" x14ac:dyDescent="0.3">
      <c r="A697">
        <v>2023</v>
      </c>
      <c r="B697" t="s">
        <v>59</v>
      </c>
      <c r="C697" t="s">
        <v>23</v>
      </c>
      <c r="D697">
        <v>799</v>
      </c>
      <c r="E697" s="1">
        <v>6210</v>
      </c>
      <c r="F697" s="2">
        <v>56592</v>
      </c>
    </row>
    <row r="698" spans="1:6" x14ac:dyDescent="0.3">
      <c r="A698">
        <v>2023</v>
      </c>
      <c r="B698" t="s">
        <v>59</v>
      </c>
      <c r="C698" t="s">
        <v>24</v>
      </c>
      <c r="D698" s="1">
        <v>1015</v>
      </c>
      <c r="E698" s="1">
        <v>17258</v>
      </c>
      <c r="F698" s="2">
        <v>66732</v>
      </c>
    </row>
    <row r="699" spans="1:6" x14ac:dyDescent="0.3">
      <c r="A699">
        <v>2023</v>
      </c>
      <c r="B699" t="s">
        <v>59</v>
      </c>
      <c r="C699" t="s">
        <v>25</v>
      </c>
      <c r="D699" s="1">
        <v>1664</v>
      </c>
      <c r="E699" s="1">
        <v>15847</v>
      </c>
      <c r="F699" s="2">
        <v>73213</v>
      </c>
    </row>
    <row r="700" spans="1:6" x14ac:dyDescent="0.3">
      <c r="A700">
        <v>2023</v>
      </c>
      <c r="B700" t="s">
        <v>59</v>
      </c>
      <c r="C700" t="s">
        <v>26</v>
      </c>
      <c r="D700" s="1">
        <v>1037</v>
      </c>
      <c r="E700" s="1">
        <v>12334</v>
      </c>
      <c r="F700" s="2">
        <v>97212</v>
      </c>
    </row>
    <row r="701" spans="1:6" x14ac:dyDescent="0.3">
      <c r="A701">
        <v>2023</v>
      </c>
      <c r="B701" t="s">
        <v>59</v>
      </c>
      <c r="C701" t="s">
        <v>27</v>
      </c>
      <c r="D701" s="1">
        <v>3724</v>
      </c>
      <c r="E701" s="1">
        <v>67578</v>
      </c>
      <c r="F701" s="2">
        <v>117433</v>
      </c>
    </row>
    <row r="702" spans="1:6" x14ac:dyDescent="0.3">
      <c r="A702">
        <v>2023</v>
      </c>
      <c r="B702" t="s">
        <v>59</v>
      </c>
      <c r="C702" t="s">
        <v>28</v>
      </c>
      <c r="D702" s="1">
        <v>1074</v>
      </c>
      <c r="E702" s="1">
        <v>11166</v>
      </c>
      <c r="F702" s="2">
        <v>57554</v>
      </c>
    </row>
    <row r="703" spans="1:6" x14ac:dyDescent="0.3">
      <c r="A703">
        <v>2023</v>
      </c>
      <c r="B703" t="s">
        <v>59</v>
      </c>
      <c r="C703" t="s">
        <v>29</v>
      </c>
      <c r="D703" s="1">
        <v>12812</v>
      </c>
      <c r="E703" s="1">
        <v>277408</v>
      </c>
      <c r="F703" s="2">
        <v>135959</v>
      </c>
    </row>
    <row r="704" spans="1:6" x14ac:dyDescent="0.3">
      <c r="A704">
        <v>2023</v>
      </c>
      <c r="B704" t="s">
        <v>59</v>
      </c>
      <c r="C704" t="s">
        <v>30</v>
      </c>
      <c r="D704" s="1">
        <v>5669</v>
      </c>
      <c r="E704" s="1">
        <v>75919</v>
      </c>
      <c r="F704" s="2">
        <v>87039</v>
      </c>
    </row>
    <row r="705" spans="1:6" x14ac:dyDescent="0.3">
      <c r="A705">
        <v>2023</v>
      </c>
      <c r="B705" t="s">
        <v>59</v>
      </c>
      <c r="C705" t="s">
        <v>31</v>
      </c>
      <c r="D705">
        <v>402</v>
      </c>
      <c r="E705" s="1">
        <v>6093</v>
      </c>
      <c r="F705" s="2">
        <v>71543</v>
      </c>
    </row>
    <row r="706" spans="1:6" x14ac:dyDescent="0.3">
      <c r="A706">
        <v>2023</v>
      </c>
      <c r="B706" t="s">
        <v>59</v>
      </c>
      <c r="C706" t="s">
        <v>32</v>
      </c>
      <c r="D706" s="1">
        <v>4915</v>
      </c>
      <c r="E706" s="1">
        <v>69330</v>
      </c>
      <c r="F706" s="2">
        <v>72613</v>
      </c>
    </row>
    <row r="707" spans="1:6" x14ac:dyDescent="0.3">
      <c r="A707">
        <v>2023</v>
      </c>
      <c r="B707" t="s">
        <v>59</v>
      </c>
      <c r="C707" t="s">
        <v>33</v>
      </c>
      <c r="D707" s="1">
        <v>1550</v>
      </c>
      <c r="E707" s="1">
        <v>19627</v>
      </c>
      <c r="F707" s="2">
        <v>60407</v>
      </c>
    </row>
    <row r="708" spans="1:6" x14ac:dyDescent="0.3">
      <c r="A708">
        <v>2023</v>
      </c>
      <c r="B708" t="s">
        <v>59</v>
      </c>
      <c r="C708" t="s">
        <v>34</v>
      </c>
      <c r="D708" s="1">
        <v>4135</v>
      </c>
      <c r="E708" s="1">
        <v>35053</v>
      </c>
      <c r="F708" s="2">
        <v>89633</v>
      </c>
    </row>
    <row r="709" spans="1:6" x14ac:dyDescent="0.3">
      <c r="A709">
        <v>2023</v>
      </c>
      <c r="B709" t="s">
        <v>59</v>
      </c>
      <c r="C709" t="s">
        <v>35</v>
      </c>
      <c r="D709" s="1">
        <v>5348</v>
      </c>
      <c r="E709" s="1">
        <v>87043</v>
      </c>
      <c r="F709" s="2">
        <v>94900</v>
      </c>
    </row>
    <row r="710" spans="1:6" x14ac:dyDescent="0.3">
      <c r="A710">
        <v>2023</v>
      </c>
      <c r="B710" t="s">
        <v>59</v>
      </c>
      <c r="C710" t="s">
        <v>36</v>
      </c>
      <c r="D710">
        <v>714</v>
      </c>
      <c r="E710" s="1">
        <v>5878</v>
      </c>
      <c r="F710" s="2">
        <v>76409</v>
      </c>
    </row>
    <row r="711" spans="1:6" x14ac:dyDescent="0.3">
      <c r="A711">
        <v>2023</v>
      </c>
      <c r="B711" t="s">
        <v>59</v>
      </c>
      <c r="C711" t="s">
        <v>37</v>
      </c>
      <c r="D711" s="1">
        <v>2883</v>
      </c>
      <c r="E711" s="1">
        <v>26869</v>
      </c>
      <c r="F711" s="2">
        <v>66032</v>
      </c>
    </row>
    <row r="712" spans="1:6" x14ac:dyDescent="0.3">
      <c r="A712">
        <v>2023</v>
      </c>
      <c r="B712" t="s">
        <v>59</v>
      </c>
      <c r="C712" t="s">
        <v>38</v>
      </c>
      <c r="D712">
        <v>589</v>
      </c>
      <c r="E712" s="1">
        <v>5500</v>
      </c>
      <c r="F712" s="2">
        <v>51535</v>
      </c>
    </row>
    <row r="713" spans="1:6" x14ac:dyDescent="0.3">
      <c r="A713">
        <v>2023</v>
      </c>
      <c r="B713" t="s">
        <v>59</v>
      </c>
      <c r="C713" t="s">
        <v>39</v>
      </c>
      <c r="D713" s="1">
        <v>3981</v>
      </c>
      <c r="E713" s="1">
        <v>45042</v>
      </c>
      <c r="F713" s="2">
        <v>75375</v>
      </c>
    </row>
    <row r="714" spans="1:6" x14ac:dyDescent="0.3">
      <c r="A714">
        <v>2023</v>
      </c>
      <c r="B714" t="s">
        <v>59</v>
      </c>
      <c r="C714" t="s">
        <v>40</v>
      </c>
      <c r="D714" s="1">
        <v>10627</v>
      </c>
      <c r="E714" s="1">
        <v>208591</v>
      </c>
      <c r="F714" s="2">
        <v>90857</v>
      </c>
    </row>
    <row r="715" spans="1:6" x14ac:dyDescent="0.3">
      <c r="A715">
        <v>2023</v>
      </c>
      <c r="B715" t="s">
        <v>59</v>
      </c>
      <c r="C715" t="s">
        <v>41</v>
      </c>
      <c r="D715" s="1">
        <v>2776</v>
      </c>
      <c r="E715" s="1">
        <v>38323</v>
      </c>
      <c r="F715" s="2">
        <v>84735</v>
      </c>
    </row>
    <row r="716" spans="1:6" x14ac:dyDescent="0.3">
      <c r="A716">
        <v>2023</v>
      </c>
      <c r="B716" t="s">
        <v>59</v>
      </c>
      <c r="C716" t="s">
        <v>42</v>
      </c>
      <c r="D716">
        <v>527</v>
      </c>
      <c r="E716" s="1">
        <v>4322</v>
      </c>
      <c r="F716" s="2">
        <v>62861</v>
      </c>
    </row>
    <row r="717" spans="1:6" x14ac:dyDescent="0.3">
      <c r="A717">
        <v>2023</v>
      </c>
      <c r="B717" t="s">
        <v>59</v>
      </c>
      <c r="C717" t="s">
        <v>43</v>
      </c>
      <c r="D717" s="1">
        <v>4600</v>
      </c>
      <c r="E717" s="1">
        <v>67714</v>
      </c>
      <c r="F717" s="2">
        <v>107966</v>
      </c>
    </row>
    <row r="718" spans="1:6" x14ac:dyDescent="0.3">
      <c r="A718">
        <v>2023</v>
      </c>
      <c r="B718" t="s">
        <v>59</v>
      </c>
      <c r="C718" t="s">
        <v>44</v>
      </c>
      <c r="D718" s="1">
        <v>5007</v>
      </c>
      <c r="E718" s="1">
        <v>143883</v>
      </c>
      <c r="F718" s="2">
        <v>207135</v>
      </c>
    </row>
    <row r="719" spans="1:6" x14ac:dyDescent="0.3">
      <c r="A719">
        <v>2023</v>
      </c>
      <c r="B719" t="s">
        <v>59</v>
      </c>
      <c r="C719" t="s">
        <v>45</v>
      </c>
      <c r="D719">
        <v>818</v>
      </c>
      <c r="E719" s="1">
        <v>8072</v>
      </c>
      <c r="F719" s="2">
        <v>53281</v>
      </c>
    </row>
    <row r="720" spans="1:6" x14ac:dyDescent="0.3">
      <c r="A720">
        <v>2023</v>
      </c>
      <c r="B720" t="s">
        <v>59</v>
      </c>
      <c r="C720" t="s">
        <v>46</v>
      </c>
      <c r="D720" s="1">
        <v>2335</v>
      </c>
      <c r="E720" s="1">
        <v>46993</v>
      </c>
      <c r="F720" s="2">
        <v>82512</v>
      </c>
    </row>
    <row r="721" spans="1:6" x14ac:dyDescent="0.3">
      <c r="A721">
        <v>2023</v>
      </c>
      <c r="B721" t="s">
        <v>59</v>
      </c>
      <c r="C721" t="s">
        <v>47</v>
      </c>
      <c r="D721">
        <v>417</v>
      </c>
      <c r="E721" s="1">
        <v>3424</v>
      </c>
      <c r="F721" s="2">
        <v>49035</v>
      </c>
    </row>
    <row r="722" spans="1:6" x14ac:dyDescent="0.3">
      <c r="A722">
        <v>2023</v>
      </c>
      <c r="B722" t="s">
        <v>60</v>
      </c>
      <c r="C722" t="s">
        <v>0</v>
      </c>
      <c r="D722" s="1">
        <v>13590</v>
      </c>
      <c r="E722" s="1">
        <v>95053</v>
      </c>
      <c r="F722" s="2">
        <v>71076</v>
      </c>
    </row>
    <row r="723" spans="1:6" x14ac:dyDescent="0.3">
      <c r="A723">
        <v>2023</v>
      </c>
      <c r="B723" t="s">
        <v>60</v>
      </c>
      <c r="C723" t="s">
        <v>1</v>
      </c>
      <c r="D723" s="1">
        <v>19357</v>
      </c>
      <c r="E723" s="1">
        <v>223263</v>
      </c>
      <c r="F723" s="2">
        <v>74627</v>
      </c>
    </row>
    <row r="724" spans="1:6" x14ac:dyDescent="0.3">
      <c r="A724">
        <v>2023</v>
      </c>
      <c r="B724" t="s">
        <v>60</v>
      </c>
      <c r="C724" t="s">
        <v>2</v>
      </c>
      <c r="D724" s="1">
        <v>8591</v>
      </c>
      <c r="E724" s="1">
        <v>51934</v>
      </c>
      <c r="F724" s="2">
        <v>60198</v>
      </c>
    </row>
    <row r="725" spans="1:6" x14ac:dyDescent="0.3">
      <c r="A725">
        <v>2023</v>
      </c>
      <c r="B725" t="s">
        <v>60</v>
      </c>
      <c r="C725" t="s">
        <v>3</v>
      </c>
      <c r="D725" s="1">
        <v>109980</v>
      </c>
      <c r="E725" s="1">
        <v>841829</v>
      </c>
      <c r="F725" s="2">
        <v>112757</v>
      </c>
    </row>
    <row r="726" spans="1:6" x14ac:dyDescent="0.3">
      <c r="A726">
        <v>2023</v>
      </c>
      <c r="B726" t="s">
        <v>60</v>
      </c>
      <c r="C726" t="s">
        <v>4</v>
      </c>
      <c r="D726" s="1">
        <v>24028</v>
      </c>
      <c r="E726" s="1">
        <v>167272</v>
      </c>
      <c r="F726" s="2">
        <v>88613</v>
      </c>
    </row>
    <row r="727" spans="1:6" x14ac:dyDescent="0.3">
      <c r="A727">
        <v>2023</v>
      </c>
      <c r="B727" t="s">
        <v>60</v>
      </c>
      <c r="C727" t="s">
        <v>5</v>
      </c>
      <c r="D727" s="1">
        <v>11028</v>
      </c>
      <c r="E727" s="1">
        <v>121869</v>
      </c>
      <c r="F727" s="2">
        <v>157629</v>
      </c>
    </row>
    <row r="728" spans="1:6" x14ac:dyDescent="0.3">
      <c r="A728">
        <v>2023</v>
      </c>
      <c r="B728" t="s">
        <v>60</v>
      </c>
      <c r="C728" t="s">
        <v>6</v>
      </c>
      <c r="D728" s="1">
        <v>2907</v>
      </c>
      <c r="E728" s="1">
        <v>48162</v>
      </c>
      <c r="F728" s="2">
        <v>97426</v>
      </c>
    </row>
    <row r="729" spans="1:6" x14ac:dyDescent="0.3">
      <c r="A729">
        <v>2023</v>
      </c>
      <c r="B729" t="s">
        <v>60</v>
      </c>
      <c r="C729" t="s">
        <v>7</v>
      </c>
      <c r="D729" s="1">
        <v>76648</v>
      </c>
      <c r="E729" s="1">
        <v>585959</v>
      </c>
      <c r="F729" s="2">
        <v>77025</v>
      </c>
    </row>
    <row r="730" spans="1:6" x14ac:dyDescent="0.3">
      <c r="A730">
        <v>2023</v>
      </c>
      <c r="B730" t="s">
        <v>60</v>
      </c>
      <c r="C730" t="s">
        <v>8</v>
      </c>
      <c r="D730" s="1">
        <v>26961</v>
      </c>
      <c r="E730" s="1">
        <v>242468</v>
      </c>
      <c r="F730" s="2">
        <v>86701</v>
      </c>
    </row>
    <row r="731" spans="1:6" x14ac:dyDescent="0.3">
      <c r="A731">
        <v>2023</v>
      </c>
      <c r="B731" t="s">
        <v>60</v>
      </c>
      <c r="C731" t="s">
        <v>9</v>
      </c>
      <c r="D731" s="1">
        <v>5859</v>
      </c>
      <c r="E731" s="1">
        <v>33273</v>
      </c>
      <c r="F731" s="2">
        <v>59504</v>
      </c>
    </row>
    <row r="732" spans="1:6" x14ac:dyDescent="0.3">
      <c r="A732">
        <v>2023</v>
      </c>
      <c r="B732" t="s">
        <v>60</v>
      </c>
      <c r="C732" t="s">
        <v>10</v>
      </c>
      <c r="D732" s="1">
        <v>32792</v>
      </c>
      <c r="E732" s="1">
        <v>381941</v>
      </c>
      <c r="F732" s="2">
        <v>113091</v>
      </c>
    </row>
    <row r="733" spans="1:6" x14ac:dyDescent="0.3">
      <c r="A733">
        <v>2023</v>
      </c>
      <c r="B733" t="s">
        <v>60</v>
      </c>
      <c r="C733" t="s">
        <v>11</v>
      </c>
      <c r="D733" s="1">
        <v>16940</v>
      </c>
      <c r="E733" s="1">
        <v>135547</v>
      </c>
      <c r="F733" s="2">
        <v>67469</v>
      </c>
    </row>
    <row r="734" spans="1:6" x14ac:dyDescent="0.3">
      <c r="A734">
        <v>2023</v>
      </c>
      <c r="B734" t="s">
        <v>60</v>
      </c>
      <c r="C734" t="s">
        <v>12</v>
      </c>
      <c r="D734" s="1">
        <v>10414</v>
      </c>
      <c r="E734" s="1">
        <v>110010</v>
      </c>
      <c r="F734" s="2">
        <v>76212</v>
      </c>
    </row>
    <row r="735" spans="1:6" x14ac:dyDescent="0.3">
      <c r="A735">
        <v>2023</v>
      </c>
      <c r="B735" t="s">
        <v>60</v>
      </c>
      <c r="C735" t="s">
        <v>13</v>
      </c>
      <c r="D735" s="1">
        <v>8744</v>
      </c>
      <c r="E735" s="1">
        <v>74336</v>
      </c>
      <c r="F735" s="2">
        <v>68950</v>
      </c>
    </row>
    <row r="736" spans="1:6" x14ac:dyDescent="0.3">
      <c r="A736">
        <v>2023</v>
      </c>
      <c r="B736" t="s">
        <v>60</v>
      </c>
      <c r="C736" t="s">
        <v>14</v>
      </c>
      <c r="D736" s="1">
        <v>11201</v>
      </c>
      <c r="E736" s="1">
        <v>93556</v>
      </c>
      <c r="F736" s="2">
        <v>69885</v>
      </c>
    </row>
    <row r="737" spans="1:6" x14ac:dyDescent="0.3">
      <c r="A737">
        <v>2023</v>
      </c>
      <c r="B737" t="s">
        <v>60</v>
      </c>
      <c r="C737" t="s">
        <v>15</v>
      </c>
      <c r="D737" s="1">
        <v>13852</v>
      </c>
      <c r="E737" s="1">
        <v>84791</v>
      </c>
      <c r="F737" s="2">
        <v>63590</v>
      </c>
    </row>
    <row r="738" spans="1:6" x14ac:dyDescent="0.3">
      <c r="A738">
        <v>2023</v>
      </c>
      <c r="B738" t="s">
        <v>60</v>
      </c>
      <c r="C738" t="s">
        <v>16</v>
      </c>
      <c r="D738" s="1">
        <v>3854</v>
      </c>
      <c r="E738" s="1">
        <v>30481</v>
      </c>
      <c r="F738" s="2">
        <v>70030</v>
      </c>
    </row>
    <row r="739" spans="1:6" x14ac:dyDescent="0.3">
      <c r="A739">
        <v>2023</v>
      </c>
      <c r="B739" t="s">
        <v>60</v>
      </c>
      <c r="C739" t="s">
        <v>17</v>
      </c>
      <c r="D739" s="1">
        <v>15512</v>
      </c>
      <c r="E739" s="1">
        <v>135216</v>
      </c>
      <c r="F739" s="2">
        <v>98024</v>
      </c>
    </row>
    <row r="740" spans="1:6" x14ac:dyDescent="0.3">
      <c r="A740">
        <v>2023</v>
      </c>
      <c r="B740" t="s">
        <v>60</v>
      </c>
      <c r="C740" t="s">
        <v>18</v>
      </c>
      <c r="D740" s="1">
        <v>17883</v>
      </c>
      <c r="E740" s="1">
        <v>218858</v>
      </c>
      <c r="F740" s="2">
        <v>147565</v>
      </c>
    </row>
    <row r="741" spans="1:6" x14ac:dyDescent="0.3">
      <c r="A741">
        <v>2023</v>
      </c>
      <c r="B741" t="s">
        <v>60</v>
      </c>
      <c r="C741" t="s">
        <v>19</v>
      </c>
      <c r="D741" s="1">
        <v>19641</v>
      </c>
      <c r="E741" s="1">
        <v>208812</v>
      </c>
      <c r="F741" s="2">
        <v>73691</v>
      </c>
    </row>
    <row r="742" spans="1:6" x14ac:dyDescent="0.3">
      <c r="A742">
        <v>2023</v>
      </c>
      <c r="B742" t="s">
        <v>60</v>
      </c>
      <c r="C742" t="s">
        <v>20</v>
      </c>
      <c r="D742" s="1">
        <v>15855</v>
      </c>
      <c r="E742" s="1">
        <v>182914</v>
      </c>
      <c r="F742" s="2">
        <v>97673</v>
      </c>
    </row>
    <row r="743" spans="1:6" x14ac:dyDescent="0.3">
      <c r="A743">
        <v>2023</v>
      </c>
      <c r="B743" t="s">
        <v>60</v>
      </c>
      <c r="C743" t="s">
        <v>21</v>
      </c>
      <c r="D743" s="1">
        <v>7944</v>
      </c>
      <c r="E743" s="1">
        <v>43109</v>
      </c>
      <c r="F743" s="2">
        <v>54672</v>
      </c>
    </row>
    <row r="744" spans="1:6" x14ac:dyDescent="0.3">
      <c r="A744">
        <v>2023</v>
      </c>
      <c r="B744" t="s">
        <v>60</v>
      </c>
      <c r="C744" t="s">
        <v>22</v>
      </c>
      <c r="D744" s="1">
        <v>17951</v>
      </c>
      <c r="E744" s="1">
        <v>166025</v>
      </c>
      <c r="F744" s="2">
        <v>75387</v>
      </c>
    </row>
    <row r="745" spans="1:6" x14ac:dyDescent="0.3">
      <c r="A745">
        <v>2023</v>
      </c>
      <c r="B745" t="s">
        <v>60</v>
      </c>
      <c r="C745" t="s">
        <v>23</v>
      </c>
      <c r="D745" s="1">
        <v>4314</v>
      </c>
      <c r="E745" s="1">
        <v>22199</v>
      </c>
      <c r="F745" s="2">
        <v>60907</v>
      </c>
    </row>
    <row r="746" spans="1:6" x14ac:dyDescent="0.3">
      <c r="A746">
        <v>2023</v>
      </c>
      <c r="B746" t="s">
        <v>60</v>
      </c>
      <c r="C746" t="s">
        <v>24</v>
      </c>
      <c r="D746" s="1">
        <v>6842</v>
      </c>
      <c r="E746" s="1">
        <v>67425</v>
      </c>
      <c r="F746" s="2">
        <v>69072</v>
      </c>
    </row>
    <row r="747" spans="1:6" x14ac:dyDescent="0.3">
      <c r="A747">
        <v>2023</v>
      </c>
      <c r="B747" t="s">
        <v>60</v>
      </c>
      <c r="C747" t="s">
        <v>25</v>
      </c>
      <c r="D747" s="1">
        <v>9324</v>
      </c>
      <c r="E747" s="1">
        <v>64932</v>
      </c>
      <c r="F747" s="2">
        <v>70204</v>
      </c>
    </row>
    <row r="748" spans="1:6" x14ac:dyDescent="0.3">
      <c r="A748">
        <v>2023</v>
      </c>
      <c r="B748" t="s">
        <v>60</v>
      </c>
      <c r="C748" t="s">
        <v>26</v>
      </c>
      <c r="D748" s="1">
        <v>3881</v>
      </c>
      <c r="E748" s="1">
        <v>33418</v>
      </c>
      <c r="F748" s="2">
        <v>100104</v>
      </c>
    </row>
    <row r="749" spans="1:6" x14ac:dyDescent="0.3">
      <c r="A749">
        <v>2023</v>
      </c>
      <c r="B749" t="s">
        <v>60</v>
      </c>
      <c r="C749" t="s">
        <v>27</v>
      </c>
      <c r="D749" s="1">
        <v>20037</v>
      </c>
      <c r="E749" s="1">
        <v>243892</v>
      </c>
      <c r="F749" s="2">
        <v>117277</v>
      </c>
    </row>
    <row r="750" spans="1:6" x14ac:dyDescent="0.3">
      <c r="A750">
        <v>2023</v>
      </c>
      <c r="B750" t="s">
        <v>60</v>
      </c>
      <c r="C750" t="s">
        <v>28</v>
      </c>
      <c r="D750" s="1">
        <v>5460</v>
      </c>
      <c r="E750" s="1">
        <v>33799</v>
      </c>
      <c r="F750" s="2">
        <v>57768</v>
      </c>
    </row>
    <row r="751" spans="1:6" x14ac:dyDescent="0.3">
      <c r="A751">
        <v>2023</v>
      </c>
      <c r="B751" t="s">
        <v>60</v>
      </c>
      <c r="C751" t="s">
        <v>29</v>
      </c>
      <c r="D751" s="1">
        <v>63310</v>
      </c>
      <c r="E751" s="1">
        <v>720818</v>
      </c>
      <c r="F751" s="2">
        <v>191494</v>
      </c>
    </row>
    <row r="752" spans="1:6" x14ac:dyDescent="0.3">
      <c r="A752">
        <v>2023</v>
      </c>
      <c r="B752" t="s">
        <v>60</v>
      </c>
      <c r="C752" t="s">
        <v>30</v>
      </c>
      <c r="D752" s="1">
        <v>28672</v>
      </c>
      <c r="E752" s="1">
        <v>245903</v>
      </c>
      <c r="F752" s="2">
        <v>89886</v>
      </c>
    </row>
    <row r="753" spans="1:6" x14ac:dyDescent="0.3">
      <c r="A753">
        <v>2023</v>
      </c>
      <c r="B753" t="s">
        <v>60</v>
      </c>
      <c r="C753" t="s">
        <v>31</v>
      </c>
      <c r="D753" s="1">
        <v>2985</v>
      </c>
      <c r="E753" s="1">
        <v>23264</v>
      </c>
      <c r="F753" s="2">
        <v>65784</v>
      </c>
    </row>
    <row r="754" spans="1:6" x14ac:dyDescent="0.3">
      <c r="A754">
        <v>2023</v>
      </c>
      <c r="B754" t="s">
        <v>60</v>
      </c>
      <c r="C754" t="s">
        <v>32</v>
      </c>
      <c r="D754" s="1">
        <v>29119</v>
      </c>
      <c r="E754" s="1">
        <v>292556</v>
      </c>
      <c r="F754" s="2">
        <v>75683</v>
      </c>
    </row>
    <row r="755" spans="1:6" x14ac:dyDescent="0.3">
      <c r="A755">
        <v>2023</v>
      </c>
      <c r="B755" t="s">
        <v>60</v>
      </c>
      <c r="C755" t="s">
        <v>33</v>
      </c>
      <c r="D755" s="1">
        <v>11672</v>
      </c>
      <c r="E755" s="1">
        <v>77324</v>
      </c>
      <c r="F755" s="2">
        <v>59814</v>
      </c>
    </row>
    <row r="756" spans="1:6" x14ac:dyDescent="0.3">
      <c r="A756">
        <v>2023</v>
      </c>
      <c r="B756" t="s">
        <v>60</v>
      </c>
      <c r="C756" t="s">
        <v>34</v>
      </c>
      <c r="D756" s="1">
        <v>13190</v>
      </c>
      <c r="E756" s="1">
        <v>85425</v>
      </c>
      <c r="F756" s="2">
        <v>73291</v>
      </c>
    </row>
    <row r="757" spans="1:6" x14ac:dyDescent="0.3">
      <c r="A757">
        <v>2023</v>
      </c>
      <c r="B757" t="s">
        <v>60</v>
      </c>
      <c r="C757" t="s">
        <v>35</v>
      </c>
      <c r="D757" s="1">
        <v>29264</v>
      </c>
      <c r="E757" s="1">
        <v>329745</v>
      </c>
      <c r="F757" s="2">
        <v>90778</v>
      </c>
    </row>
    <row r="758" spans="1:6" x14ac:dyDescent="0.3">
      <c r="A758">
        <v>2023</v>
      </c>
      <c r="B758" t="s">
        <v>60</v>
      </c>
      <c r="C758" t="s">
        <v>36</v>
      </c>
      <c r="D758" s="1">
        <v>2934</v>
      </c>
      <c r="E758" s="1">
        <v>32223</v>
      </c>
      <c r="F758" s="2">
        <v>91537</v>
      </c>
    </row>
    <row r="759" spans="1:6" x14ac:dyDescent="0.3">
      <c r="A759">
        <v>2023</v>
      </c>
      <c r="B759" t="s">
        <v>60</v>
      </c>
      <c r="C759" t="s">
        <v>37</v>
      </c>
      <c r="D759" s="1">
        <v>14196</v>
      </c>
      <c r="E759" s="1">
        <v>101755</v>
      </c>
      <c r="F759" s="2">
        <v>64481</v>
      </c>
    </row>
    <row r="760" spans="1:6" x14ac:dyDescent="0.3">
      <c r="A760">
        <v>2023</v>
      </c>
      <c r="B760" t="s">
        <v>60</v>
      </c>
      <c r="C760" t="s">
        <v>38</v>
      </c>
      <c r="D760" s="1">
        <v>3315</v>
      </c>
      <c r="E760" s="1">
        <v>28483</v>
      </c>
      <c r="F760" s="2">
        <v>63499</v>
      </c>
    </row>
    <row r="761" spans="1:6" x14ac:dyDescent="0.3">
      <c r="A761">
        <v>2023</v>
      </c>
      <c r="B761" t="s">
        <v>60</v>
      </c>
      <c r="C761" t="s">
        <v>39</v>
      </c>
      <c r="D761" s="1">
        <v>16270</v>
      </c>
      <c r="E761" s="1">
        <v>157388</v>
      </c>
      <c r="F761" s="2">
        <v>77805</v>
      </c>
    </row>
    <row r="762" spans="1:6" x14ac:dyDescent="0.3">
      <c r="A762">
        <v>2023</v>
      </c>
      <c r="B762" t="s">
        <v>60</v>
      </c>
      <c r="C762" t="s">
        <v>40</v>
      </c>
      <c r="D762" s="1">
        <v>76169</v>
      </c>
      <c r="E762" s="1">
        <v>777574</v>
      </c>
      <c r="F762" s="2">
        <v>86718</v>
      </c>
    </row>
    <row r="763" spans="1:6" x14ac:dyDescent="0.3">
      <c r="A763">
        <v>2023</v>
      </c>
      <c r="B763" t="s">
        <v>60</v>
      </c>
      <c r="C763" t="s">
        <v>41</v>
      </c>
      <c r="D763" s="1">
        <v>11885</v>
      </c>
      <c r="E763" s="1">
        <v>90007</v>
      </c>
      <c r="F763" s="2">
        <v>70967</v>
      </c>
    </row>
    <row r="764" spans="1:6" x14ac:dyDescent="0.3">
      <c r="A764">
        <v>2023</v>
      </c>
      <c r="B764" t="s">
        <v>60</v>
      </c>
      <c r="C764" t="s">
        <v>42</v>
      </c>
      <c r="D764" s="1">
        <v>1709</v>
      </c>
      <c r="E764" s="1">
        <v>11948</v>
      </c>
      <c r="F764" s="2">
        <v>74642</v>
      </c>
    </row>
    <row r="765" spans="1:6" x14ac:dyDescent="0.3">
      <c r="A765">
        <v>2023</v>
      </c>
      <c r="B765" t="s">
        <v>60</v>
      </c>
      <c r="C765" t="s">
        <v>43</v>
      </c>
      <c r="D765" s="1">
        <v>22249</v>
      </c>
      <c r="E765" s="1">
        <v>198459</v>
      </c>
      <c r="F765" s="2">
        <v>88029</v>
      </c>
    </row>
    <row r="766" spans="1:6" x14ac:dyDescent="0.3">
      <c r="A766">
        <v>2023</v>
      </c>
      <c r="B766" t="s">
        <v>60</v>
      </c>
      <c r="C766" t="s">
        <v>44</v>
      </c>
      <c r="D766" s="1">
        <v>17624</v>
      </c>
      <c r="E766" s="1">
        <v>150178</v>
      </c>
      <c r="F766" s="2">
        <v>85242</v>
      </c>
    </row>
    <row r="767" spans="1:6" x14ac:dyDescent="0.3">
      <c r="A767">
        <v>2023</v>
      </c>
      <c r="B767" t="s">
        <v>60</v>
      </c>
      <c r="C767" t="s">
        <v>45</v>
      </c>
      <c r="D767" s="1">
        <v>4003</v>
      </c>
      <c r="E767" s="1">
        <v>24569</v>
      </c>
      <c r="F767" s="2">
        <v>54528</v>
      </c>
    </row>
    <row r="768" spans="1:6" x14ac:dyDescent="0.3">
      <c r="A768">
        <v>2023</v>
      </c>
      <c r="B768" t="s">
        <v>60</v>
      </c>
      <c r="C768" t="s">
        <v>46</v>
      </c>
      <c r="D768" s="1">
        <v>14066</v>
      </c>
      <c r="E768" s="1">
        <v>150327</v>
      </c>
      <c r="F768" s="2">
        <v>74040</v>
      </c>
    </row>
    <row r="769" spans="1:6" x14ac:dyDescent="0.3">
      <c r="A769">
        <v>2023</v>
      </c>
      <c r="B769" t="s">
        <v>60</v>
      </c>
      <c r="C769" t="s">
        <v>47</v>
      </c>
      <c r="D769" s="1">
        <v>2306</v>
      </c>
      <c r="E769" s="1">
        <v>11180</v>
      </c>
      <c r="F769" s="2">
        <v>60849</v>
      </c>
    </row>
    <row r="770" spans="1:6" x14ac:dyDescent="0.3">
      <c r="A770">
        <v>2023</v>
      </c>
      <c r="B770" t="s">
        <v>61</v>
      </c>
      <c r="C770" t="s">
        <v>0</v>
      </c>
      <c r="D770" s="1">
        <v>22186</v>
      </c>
      <c r="E770" s="1">
        <v>251073</v>
      </c>
      <c r="F770" s="2">
        <v>57061</v>
      </c>
    </row>
    <row r="771" spans="1:6" x14ac:dyDescent="0.3">
      <c r="A771">
        <v>2023</v>
      </c>
      <c r="B771" t="s">
        <v>61</v>
      </c>
      <c r="C771" t="s">
        <v>1</v>
      </c>
      <c r="D771" s="1">
        <v>38940</v>
      </c>
      <c r="E771" s="1">
        <v>445648</v>
      </c>
      <c r="F771" s="2">
        <v>58892</v>
      </c>
    </row>
    <row r="772" spans="1:6" x14ac:dyDescent="0.3">
      <c r="A772">
        <v>2023</v>
      </c>
      <c r="B772" t="s">
        <v>61</v>
      </c>
      <c r="C772" t="s">
        <v>2</v>
      </c>
      <c r="D772" s="1">
        <v>14911</v>
      </c>
      <c r="E772" s="1">
        <v>145841</v>
      </c>
      <c r="F772" s="2">
        <v>63354</v>
      </c>
    </row>
    <row r="773" spans="1:6" x14ac:dyDescent="0.3">
      <c r="A773">
        <v>2023</v>
      </c>
      <c r="B773" t="s">
        <v>61</v>
      </c>
      <c r="C773" t="s">
        <v>3</v>
      </c>
      <c r="D773" s="1">
        <v>215691</v>
      </c>
      <c r="E773" s="1">
        <v>2723437</v>
      </c>
      <c r="F773" s="2">
        <v>95348</v>
      </c>
    </row>
    <row r="774" spans="1:6" x14ac:dyDescent="0.3">
      <c r="A774">
        <v>2023</v>
      </c>
      <c r="B774" t="s">
        <v>61</v>
      </c>
      <c r="C774" t="s">
        <v>4</v>
      </c>
      <c r="D774" s="1">
        <v>55003</v>
      </c>
      <c r="E774" s="1">
        <v>439613</v>
      </c>
      <c r="F774" s="2">
        <v>86477</v>
      </c>
    </row>
    <row r="775" spans="1:6" x14ac:dyDescent="0.3">
      <c r="A775">
        <v>2023</v>
      </c>
      <c r="B775" t="s">
        <v>61</v>
      </c>
      <c r="C775" t="s">
        <v>5</v>
      </c>
      <c r="D775" s="1">
        <v>23755</v>
      </c>
      <c r="E775" s="1">
        <v>218815</v>
      </c>
      <c r="F775" s="2">
        <v>92139</v>
      </c>
    </row>
    <row r="776" spans="1:6" x14ac:dyDescent="0.3">
      <c r="A776">
        <v>2023</v>
      </c>
      <c r="B776" t="s">
        <v>61</v>
      </c>
      <c r="C776" t="s">
        <v>6</v>
      </c>
      <c r="D776" s="1">
        <v>9421</v>
      </c>
      <c r="E776" s="1">
        <v>63844</v>
      </c>
      <c r="F776" s="2">
        <v>82658</v>
      </c>
    </row>
    <row r="777" spans="1:6" x14ac:dyDescent="0.3">
      <c r="A777">
        <v>2023</v>
      </c>
      <c r="B777" t="s">
        <v>61</v>
      </c>
      <c r="C777" t="s">
        <v>7</v>
      </c>
      <c r="D777" s="1">
        <v>170397</v>
      </c>
      <c r="E777" s="1">
        <v>1391050</v>
      </c>
      <c r="F777" s="2">
        <v>63740</v>
      </c>
    </row>
    <row r="778" spans="1:6" x14ac:dyDescent="0.3">
      <c r="A778">
        <v>2023</v>
      </c>
      <c r="B778" t="s">
        <v>61</v>
      </c>
      <c r="C778" t="s">
        <v>8</v>
      </c>
      <c r="D778" s="1">
        <v>56304</v>
      </c>
      <c r="E778" s="1">
        <v>717238</v>
      </c>
      <c r="F778" s="2">
        <v>71861</v>
      </c>
    </row>
    <row r="779" spans="1:6" x14ac:dyDescent="0.3">
      <c r="A779">
        <v>2023</v>
      </c>
      <c r="B779" t="s">
        <v>61</v>
      </c>
      <c r="C779" t="s">
        <v>9</v>
      </c>
      <c r="D779" s="1">
        <v>11359</v>
      </c>
      <c r="E779" s="1">
        <v>94181</v>
      </c>
      <c r="F779" s="2">
        <v>55072</v>
      </c>
    </row>
    <row r="780" spans="1:6" x14ac:dyDescent="0.3">
      <c r="A780">
        <v>2023</v>
      </c>
      <c r="B780" t="s">
        <v>61</v>
      </c>
      <c r="C780" t="s">
        <v>10</v>
      </c>
      <c r="D780" s="1">
        <v>75870</v>
      </c>
      <c r="E780" s="1">
        <v>948055</v>
      </c>
      <c r="F780" s="2">
        <v>78228</v>
      </c>
    </row>
    <row r="781" spans="1:6" x14ac:dyDescent="0.3">
      <c r="A781">
        <v>2023</v>
      </c>
      <c r="B781" t="s">
        <v>61</v>
      </c>
      <c r="C781" t="s">
        <v>11</v>
      </c>
      <c r="D781" s="1">
        <v>30165</v>
      </c>
      <c r="E781" s="1">
        <v>346667</v>
      </c>
      <c r="F781" s="2">
        <v>53817</v>
      </c>
    </row>
    <row r="782" spans="1:6" x14ac:dyDescent="0.3">
      <c r="A782">
        <v>2023</v>
      </c>
      <c r="B782" t="s">
        <v>61</v>
      </c>
      <c r="C782" t="s">
        <v>12</v>
      </c>
      <c r="D782" s="1">
        <v>16421</v>
      </c>
      <c r="E782" s="1">
        <v>139337</v>
      </c>
      <c r="F782" s="2">
        <v>56755</v>
      </c>
    </row>
    <row r="783" spans="1:6" x14ac:dyDescent="0.3">
      <c r="A783">
        <v>2023</v>
      </c>
      <c r="B783" t="s">
        <v>61</v>
      </c>
      <c r="C783" t="s">
        <v>13</v>
      </c>
      <c r="D783" s="1">
        <v>16598</v>
      </c>
      <c r="E783" s="1">
        <v>179211</v>
      </c>
      <c r="F783" s="2">
        <v>64554</v>
      </c>
    </row>
    <row r="784" spans="1:6" x14ac:dyDescent="0.3">
      <c r="A784">
        <v>2023</v>
      </c>
      <c r="B784" t="s">
        <v>61</v>
      </c>
      <c r="C784" t="s">
        <v>14</v>
      </c>
      <c r="D784" s="1">
        <v>20866</v>
      </c>
      <c r="E784" s="1">
        <v>216049</v>
      </c>
      <c r="F784" s="2">
        <v>52511</v>
      </c>
    </row>
    <row r="785" spans="1:6" x14ac:dyDescent="0.3">
      <c r="A785">
        <v>2023</v>
      </c>
      <c r="B785" t="s">
        <v>61</v>
      </c>
      <c r="C785" t="s">
        <v>15</v>
      </c>
      <c r="D785" s="1">
        <v>25304</v>
      </c>
      <c r="E785" s="1">
        <v>216009</v>
      </c>
      <c r="F785" s="2">
        <v>57624</v>
      </c>
    </row>
    <row r="786" spans="1:6" x14ac:dyDescent="0.3">
      <c r="A786">
        <v>2023</v>
      </c>
      <c r="B786" t="s">
        <v>61</v>
      </c>
      <c r="C786" t="s">
        <v>16</v>
      </c>
      <c r="D786" s="1">
        <v>10504</v>
      </c>
      <c r="E786" s="1">
        <v>69931</v>
      </c>
      <c r="F786" s="2">
        <v>60893</v>
      </c>
    </row>
    <row r="787" spans="1:6" x14ac:dyDescent="0.3">
      <c r="A787">
        <v>2023</v>
      </c>
      <c r="B787" t="s">
        <v>61</v>
      </c>
      <c r="C787" t="s">
        <v>17</v>
      </c>
      <c r="D787" s="1">
        <v>44172</v>
      </c>
      <c r="E787" s="1">
        <v>461724</v>
      </c>
      <c r="F787" s="2">
        <v>82573</v>
      </c>
    </row>
    <row r="788" spans="1:6" x14ac:dyDescent="0.3">
      <c r="A788">
        <v>2023</v>
      </c>
      <c r="B788" t="s">
        <v>61</v>
      </c>
      <c r="C788" t="s">
        <v>18</v>
      </c>
      <c r="D788" s="1">
        <v>47892</v>
      </c>
      <c r="E788" s="1">
        <v>605822</v>
      </c>
      <c r="F788" s="2">
        <v>113872</v>
      </c>
    </row>
    <row r="789" spans="1:6" x14ac:dyDescent="0.3">
      <c r="A789">
        <v>2023</v>
      </c>
      <c r="B789" t="s">
        <v>61</v>
      </c>
      <c r="C789" t="s">
        <v>19</v>
      </c>
      <c r="D789" s="1">
        <v>44483</v>
      </c>
      <c r="E789" s="1">
        <v>655188</v>
      </c>
      <c r="F789" s="2">
        <v>70805</v>
      </c>
    </row>
    <row r="790" spans="1:6" x14ac:dyDescent="0.3">
      <c r="A790">
        <v>2023</v>
      </c>
      <c r="B790" t="s">
        <v>61</v>
      </c>
      <c r="C790" t="s">
        <v>20</v>
      </c>
      <c r="D790" s="1">
        <v>32903</v>
      </c>
      <c r="E790" s="1">
        <v>383591</v>
      </c>
      <c r="F790" s="2">
        <v>85736</v>
      </c>
    </row>
    <row r="791" spans="1:6" x14ac:dyDescent="0.3">
      <c r="A791">
        <v>2023</v>
      </c>
      <c r="B791" t="s">
        <v>61</v>
      </c>
      <c r="C791" t="s">
        <v>21</v>
      </c>
      <c r="D791" s="1">
        <v>12421</v>
      </c>
      <c r="E791" s="1">
        <v>108490</v>
      </c>
      <c r="F791" s="2">
        <v>43023</v>
      </c>
    </row>
    <row r="792" spans="1:6" x14ac:dyDescent="0.3">
      <c r="A792">
        <v>2023</v>
      </c>
      <c r="B792" t="s">
        <v>61</v>
      </c>
      <c r="C792" t="s">
        <v>22</v>
      </c>
      <c r="D792" s="1">
        <v>34349</v>
      </c>
      <c r="E792" s="1">
        <v>382484</v>
      </c>
      <c r="F792" s="2">
        <v>68700</v>
      </c>
    </row>
    <row r="793" spans="1:6" x14ac:dyDescent="0.3">
      <c r="A793">
        <v>2023</v>
      </c>
      <c r="B793" t="s">
        <v>61</v>
      </c>
      <c r="C793" t="s">
        <v>23</v>
      </c>
      <c r="D793" s="1">
        <v>9482</v>
      </c>
      <c r="E793" s="1">
        <v>43417</v>
      </c>
      <c r="F793" s="2">
        <v>54553</v>
      </c>
    </row>
    <row r="794" spans="1:6" x14ac:dyDescent="0.3">
      <c r="A794">
        <v>2023</v>
      </c>
      <c r="B794" t="s">
        <v>61</v>
      </c>
      <c r="C794" t="s">
        <v>24</v>
      </c>
      <c r="D794" s="1">
        <v>11737</v>
      </c>
      <c r="E794" s="1">
        <v>120560</v>
      </c>
      <c r="F794" s="2">
        <v>60603</v>
      </c>
    </row>
    <row r="795" spans="1:6" x14ac:dyDescent="0.3">
      <c r="A795">
        <v>2023</v>
      </c>
      <c r="B795" t="s">
        <v>61</v>
      </c>
      <c r="C795" t="s">
        <v>25</v>
      </c>
      <c r="D795" s="1">
        <v>20106</v>
      </c>
      <c r="E795" s="1">
        <v>196204</v>
      </c>
      <c r="F795" s="2">
        <v>62008</v>
      </c>
    </row>
    <row r="796" spans="1:6" x14ac:dyDescent="0.3">
      <c r="A796">
        <v>2023</v>
      </c>
      <c r="B796" t="s">
        <v>61</v>
      </c>
      <c r="C796" t="s">
        <v>26</v>
      </c>
      <c r="D796" s="1">
        <v>12808</v>
      </c>
      <c r="E796" s="1">
        <v>83513</v>
      </c>
      <c r="F796" s="2">
        <v>80647</v>
      </c>
    </row>
    <row r="797" spans="1:6" x14ac:dyDescent="0.3">
      <c r="A797">
        <v>2023</v>
      </c>
      <c r="B797" t="s">
        <v>61</v>
      </c>
      <c r="C797" t="s">
        <v>27</v>
      </c>
      <c r="D797" s="1">
        <v>52040</v>
      </c>
      <c r="E797" s="1">
        <v>677810</v>
      </c>
      <c r="F797" s="2">
        <v>94022</v>
      </c>
    </row>
    <row r="798" spans="1:6" x14ac:dyDescent="0.3">
      <c r="A798">
        <v>2023</v>
      </c>
      <c r="B798" t="s">
        <v>61</v>
      </c>
      <c r="C798" t="s">
        <v>28</v>
      </c>
      <c r="D798" s="1">
        <v>11347</v>
      </c>
      <c r="E798" s="1">
        <v>111478</v>
      </c>
      <c r="F798" s="2">
        <v>64156</v>
      </c>
    </row>
    <row r="799" spans="1:6" x14ac:dyDescent="0.3">
      <c r="A799">
        <v>2023</v>
      </c>
      <c r="B799" t="s">
        <v>61</v>
      </c>
      <c r="C799" t="s">
        <v>29</v>
      </c>
      <c r="D799" s="1">
        <v>112890</v>
      </c>
      <c r="E799" s="1">
        <v>1368950</v>
      </c>
      <c r="F799" s="2">
        <v>99615</v>
      </c>
    </row>
    <row r="800" spans="1:6" x14ac:dyDescent="0.3">
      <c r="A800">
        <v>2023</v>
      </c>
      <c r="B800" t="s">
        <v>61</v>
      </c>
      <c r="C800" t="s">
        <v>30</v>
      </c>
      <c r="D800" s="1">
        <v>61321</v>
      </c>
      <c r="E800" s="1">
        <v>649747</v>
      </c>
      <c r="F800" s="2">
        <v>67705</v>
      </c>
    </row>
    <row r="801" spans="1:6" x14ac:dyDescent="0.3">
      <c r="A801">
        <v>2023</v>
      </c>
      <c r="B801" t="s">
        <v>61</v>
      </c>
      <c r="C801" t="s">
        <v>31</v>
      </c>
      <c r="D801" s="1">
        <v>5198</v>
      </c>
      <c r="E801" s="1">
        <v>32856</v>
      </c>
      <c r="F801" s="2">
        <v>63897</v>
      </c>
    </row>
    <row r="802" spans="1:6" x14ac:dyDescent="0.3">
      <c r="A802">
        <v>2023</v>
      </c>
      <c r="B802" t="s">
        <v>61</v>
      </c>
      <c r="C802" t="s">
        <v>32</v>
      </c>
      <c r="D802" s="1">
        <v>54330</v>
      </c>
      <c r="E802" s="1">
        <v>734963</v>
      </c>
      <c r="F802" s="2">
        <v>66752</v>
      </c>
    </row>
    <row r="803" spans="1:6" x14ac:dyDescent="0.3">
      <c r="A803">
        <v>2023</v>
      </c>
      <c r="B803" t="s">
        <v>61</v>
      </c>
      <c r="C803" t="s">
        <v>33</v>
      </c>
      <c r="D803" s="1">
        <v>21148</v>
      </c>
      <c r="E803" s="1">
        <v>194601</v>
      </c>
      <c r="F803" s="2">
        <v>54841</v>
      </c>
    </row>
    <row r="804" spans="1:6" x14ac:dyDescent="0.3">
      <c r="A804">
        <v>2023</v>
      </c>
      <c r="B804" t="s">
        <v>61</v>
      </c>
      <c r="C804" t="s">
        <v>34</v>
      </c>
      <c r="D804" s="1">
        <v>26161</v>
      </c>
      <c r="E804" s="1">
        <v>253667</v>
      </c>
      <c r="F804" s="2">
        <v>73460</v>
      </c>
    </row>
    <row r="805" spans="1:6" x14ac:dyDescent="0.3">
      <c r="A805">
        <v>2023</v>
      </c>
      <c r="B805" t="s">
        <v>61</v>
      </c>
      <c r="C805" t="s">
        <v>35</v>
      </c>
      <c r="D805" s="1">
        <v>64541</v>
      </c>
      <c r="E805" s="1">
        <v>816358</v>
      </c>
      <c r="F805" s="2">
        <v>81681</v>
      </c>
    </row>
    <row r="806" spans="1:6" x14ac:dyDescent="0.3">
      <c r="A806">
        <v>2023</v>
      </c>
      <c r="B806" t="s">
        <v>61</v>
      </c>
      <c r="C806" t="s">
        <v>36</v>
      </c>
      <c r="D806" s="1">
        <v>9043</v>
      </c>
      <c r="E806" s="1">
        <v>68259</v>
      </c>
      <c r="F806" s="2">
        <v>68454</v>
      </c>
    </row>
    <row r="807" spans="1:6" x14ac:dyDescent="0.3">
      <c r="A807">
        <v>2023</v>
      </c>
      <c r="B807" t="s">
        <v>61</v>
      </c>
      <c r="C807" t="s">
        <v>37</v>
      </c>
      <c r="D807" s="1">
        <v>29329</v>
      </c>
      <c r="E807" s="1">
        <v>298404</v>
      </c>
      <c r="F807" s="2">
        <v>52492</v>
      </c>
    </row>
    <row r="808" spans="1:6" x14ac:dyDescent="0.3">
      <c r="A808">
        <v>2023</v>
      </c>
      <c r="B808" t="s">
        <v>61</v>
      </c>
      <c r="C808" t="s">
        <v>38</v>
      </c>
      <c r="D808" s="1">
        <v>5498</v>
      </c>
      <c r="E808" s="1">
        <v>33117</v>
      </c>
      <c r="F808" s="2">
        <v>58619</v>
      </c>
    </row>
    <row r="809" spans="1:6" x14ac:dyDescent="0.3">
      <c r="A809">
        <v>2023</v>
      </c>
      <c r="B809" t="s">
        <v>61</v>
      </c>
      <c r="C809" t="s">
        <v>39</v>
      </c>
      <c r="D809" s="1">
        <v>30774</v>
      </c>
      <c r="E809" s="1">
        <v>425933</v>
      </c>
      <c r="F809" s="2">
        <v>62990</v>
      </c>
    </row>
    <row r="810" spans="1:6" x14ac:dyDescent="0.3">
      <c r="A810">
        <v>2023</v>
      </c>
      <c r="B810" t="s">
        <v>61</v>
      </c>
      <c r="C810" t="s">
        <v>40</v>
      </c>
      <c r="D810" s="1">
        <v>139953</v>
      </c>
      <c r="E810" s="1">
        <v>1794316</v>
      </c>
      <c r="F810" s="2">
        <v>77197</v>
      </c>
    </row>
    <row r="811" spans="1:6" x14ac:dyDescent="0.3">
      <c r="A811">
        <v>2023</v>
      </c>
      <c r="B811" t="s">
        <v>61</v>
      </c>
      <c r="C811" t="s">
        <v>41</v>
      </c>
      <c r="D811" s="1">
        <v>24485</v>
      </c>
      <c r="E811" s="1">
        <v>221851</v>
      </c>
      <c r="F811" s="2">
        <v>64641</v>
      </c>
    </row>
    <row r="812" spans="1:6" x14ac:dyDescent="0.3">
      <c r="A812">
        <v>2023</v>
      </c>
      <c r="B812" t="s">
        <v>61</v>
      </c>
      <c r="C812" t="s">
        <v>42</v>
      </c>
      <c r="D812" s="1">
        <v>5970</v>
      </c>
      <c r="E812" s="1">
        <v>29394</v>
      </c>
      <c r="F812" s="2">
        <v>68986</v>
      </c>
    </row>
    <row r="813" spans="1:6" x14ac:dyDescent="0.3">
      <c r="A813">
        <v>2023</v>
      </c>
      <c r="B813" t="s">
        <v>61</v>
      </c>
      <c r="C813" t="s">
        <v>43</v>
      </c>
      <c r="D813" s="1">
        <v>59342</v>
      </c>
      <c r="E813" s="1">
        <v>762590</v>
      </c>
      <c r="F813" s="2">
        <v>90327</v>
      </c>
    </row>
    <row r="814" spans="1:6" x14ac:dyDescent="0.3">
      <c r="A814">
        <v>2023</v>
      </c>
      <c r="B814" t="s">
        <v>61</v>
      </c>
      <c r="C814" t="s">
        <v>44</v>
      </c>
      <c r="D814" s="1">
        <v>41249</v>
      </c>
      <c r="E814" s="1">
        <v>425615</v>
      </c>
      <c r="F814" s="2">
        <v>85460</v>
      </c>
    </row>
    <row r="815" spans="1:6" x14ac:dyDescent="0.3">
      <c r="A815">
        <v>2023</v>
      </c>
      <c r="B815" t="s">
        <v>61</v>
      </c>
      <c r="C815" t="s">
        <v>45</v>
      </c>
      <c r="D815" s="1">
        <v>8381</v>
      </c>
      <c r="E815" s="1">
        <v>69069</v>
      </c>
      <c r="F815" s="2">
        <v>52180</v>
      </c>
    </row>
    <row r="816" spans="1:6" x14ac:dyDescent="0.3">
      <c r="A816">
        <v>2023</v>
      </c>
      <c r="B816" t="s">
        <v>61</v>
      </c>
      <c r="C816" t="s">
        <v>46</v>
      </c>
      <c r="D816" s="1">
        <v>26927</v>
      </c>
      <c r="E816" s="1">
        <v>326120</v>
      </c>
      <c r="F816" s="2">
        <v>63192</v>
      </c>
    </row>
    <row r="817" spans="1:6" x14ac:dyDescent="0.3">
      <c r="A817">
        <v>2023</v>
      </c>
      <c r="B817" t="s">
        <v>61</v>
      </c>
      <c r="C817" t="s">
        <v>47</v>
      </c>
      <c r="D817" s="1">
        <v>4728</v>
      </c>
      <c r="E817" s="1">
        <v>19196</v>
      </c>
      <c r="F817" s="2">
        <v>56253</v>
      </c>
    </row>
    <row r="818" spans="1:6" x14ac:dyDescent="0.3">
      <c r="A818">
        <v>2023</v>
      </c>
      <c r="B818" t="s">
        <v>62</v>
      </c>
      <c r="C818" t="s">
        <v>0</v>
      </c>
      <c r="D818" s="1">
        <v>13692</v>
      </c>
      <c r="E818" s="1">
        <v>238078</v>
      </c>
      <c r="F818" s="2">
        <v>47785</v>
      </c>
    </row>
    <row r="819" spans="1:6" x14ac:dyDescent="0.3">
      <c r="A819">
        <v>2023</v>
      </c>
      <c r="B819" t="s">
        <v>62</v>
      </c>
      <c r="C819" t="s">
        <v>1</v>
      </c>
      <c r="D819" s="1">
        <v>19924</v>
      </c>
      <c r="E819" s="1">
        <v>457984</v>
      </c>
      <c r="F819" s="2">
        <v>52632</v>
      </c>
    </row>
    <row r="820" spans="1:6" x14ac:dyDescent="0.3">
      <c r="A820">
        <v>2023</v>
      </c>
      <c r="B820" t="s">
        <v>62</v>
      </c>
      <c r="C820" t="s">
        <v>2</v>
      </c>
      <c r="D820" s="1">
        <v>15780</v>
      </c>
      <c r="E820" s="1">
        <v>187607</v>
      </c>
      <c r="F820" s="2">
        <v>43983</v>
      </c>
    </row>
    <row r="821" spans="1:6" x14ac:dyDescent="0.3">
      <c r="A821">
        <v>2023</v>
      </c>
      <c r="B821" t="s">
        <v>62</v>
      </c>
      <c r="C821" t="s">
        <v>3</v>
      </c>
      <c r="D821" s="1">
        <v>639529</v>
      </c>
      <c r="E821" s="1">
        <v>2734574</v>
      </c>
      <c r="F821" s="2">
        <v>53909</v>
      </c>
    </row>
    <row r="822" spans="1:6" x14ac:dyDescent="0.3">
      <c r="A822">
        <v>2023</v>
      </c>
      <c r="B822" t="s">
        <v>62</v>
      </c>
      <c r="C822" t="s">
        <v>4</v>
      </c>
      <c r="D822" s="1">
        <v>21747</v>
      </c>
      <c r="E822" s="1">
        <v>341496</v>
      </c>
      <c r="F822" s="2">
        <v>51600</v>
      </c>
    </row>
    <row r="823" spans="1:6" x14ac:dyDescent="0.3">
      <c r="A823">
        <v>2023</v>
      </c>
      <c r="B823" t="s">
        <v>62</v>
      </c>
      <c r="C823" t="s">
        <v>5</v>
      </c>
      <c r="D823" s="1">
        <v>13478</v>
      </c>
      <c r="E823" s="1">
        <v>330418</v>
      </c>
      <c r="F823" s="2">
        <v>57419</v>
      </c>
    </row>
    <row r="824" spans="1:6" x14ac:dyDescent="0.3">
      <c r="A824">
        <v>2023</v>
      </c>
      <c r="B824" t="s">
        <v>62</v>
      </c>
      <c r="C824" t="s">
        <v>6</v>
      </c>
      <c r="D824" s="1">
        <v>5386</v>
      </c>
      <c r="E824" s="1">
        <v>76932</v>
      </c>
      <c r="F824" s="2">
        <v>55284</v>
      </c>
    </row>
    <row r="825" spans="1:6" x14ac:dyDescent="0.3">
      <c r="A825">
        <v>2023</v>
      </c>
      <c r="B825" t="s">
        <v>62</v>
      </c>
      <c r="C825" t="s">
        <v>7</v>
      </c>
      <c r="D825" s="1">
        <v>76615</v>
      </c>
      <c r="E825" s="1">
        <v>1324281</v>
      </c>
      <c r="F825" s="2">
        <v>52039</v>
      </c>
    </row>
    <row r="826" spans="1:6" x14ac:dyDescent="0.3">
      <c r="A826">
        <v>2023</v>
      </c>
      <c r="B826" t="s">
        <v>62</v>
      </c>
      <c r="C826" t="s">
        <v>8</v>
      </c>
      <c r="D826" s="1">
        <v>29998</v>
      </c>
      <c r="E826" s="1">
        <v>580134</v>
      </c>
      <c r="F826" s="2">
        <v>53810</v>
      </c>
    </row>
    <row r="827" spans="1:6" x14ac:dyDescent="0.3">
      <c r="A827">
        <v>2023</v>
      </c>
      <c r="B827" t="s">
        <v>62</v>
      </c>
      <c r="C827" t="s">
        <v>9</v>
      </c>
      <c r="D827" s="1">
        <v>8163</v>
      </c>
      <c r="E827" s="1">
        <v>105424</v>
      </c>
      <c r="F827" s="2">
        <v>43475</v>
      </c>
    </row>
    <row r="828" spans="1:6" x14ac:dyDescent="0.3">
      <c r="A828">
        <v>2023</v>
      </c>
      <c r="B828" t="s">
        <v>62</v>
      </c>
      <c r="C828" t="s">
        <v>10</v>
      </c>
      <c r="D828" s="1">
        <v>35102</v>
      </c>
      <c r="E828" s="1">
        <v>924699</v>
      </c>
      <c r="F828" s="2">
        <v>52038</v>
      </c>
    </row>
    <row r="829" spans="1:6" x14ac:dyDescent="0.3">
      <c r="A829">
        <v>2023</v>
      </c>
      <c r="B829" t="s">
        <v>62</v>
      </c>
      <c r="C829" t="s">
        <v>11</v>
      </c>
      <c r="D829" s="1">
        <v>16247</v>
      </c>
      <c r="E829" s="1">
        <v>468491</v>
      </c>
      <c r="F829" s="2">
        <v>49107</v>
      </c>
    </row>
    <row r="830" spans="1:6" x14ac:dyDescent="0.3">
      <c r="A830">
        <v>2023</v>
      </c>
      <c r="B830" t="s">
        <v>62</v>
      </c>
      <c r="C830" t="s">
        <v>12</v>
      </c>
      <c r="D830" s="1">
        <v>11966</v>
      </c>
      <c r="E830" s="1">
        <v>219013</v>
      </c>
      <c r="F830" s="2">
        <v>44392</v>
      </c>
    </row>
    <row r="831" spans="1:6" x14ac:dyDescent="0.3">
      <c r="A831">
        <v>2023</v>
      </c>
      <c r="B831" t="s">
        <v>62</v>
      </c>
      <c r="C831" t="s">
        <v>13</v>
      </c>
      <c r="D831" s="1">
        <v>10085</v>
      </c>
      <c r="E831" s="1">
        <v>197874</v>
      </c>
      <c r="F831" s="2">
        <v>43909</v>
      </c>
    </row>
    <row r="832" spans="1:6" x14ac:dyDescent="0.3">
      <c r="A832">
        <v>2023</v>
      </c>
      <c r="B832" t="s">
        <v>62</v>
      </c>
      <c r="C832" t="s">
        <v>14</v>
      </c>
      <c r="D832" s="1">
        <v>18442</v>
      </c>
      <c r="E832" s="1">
        <v>272579</v>
      </c>
      <c r="F832" s="2">
        <v>49141</v>
      </c>
    </row>
    <row r="833" spans="1:6" x14ac:dyDescent="0.3">
      <c r="A833">
        <v>2023</v>
      </c>
      <c r="B833" t="s">
        <v>62</v>
      </c>
      <c r="C833" t="s">
        <v>15</v>
      </c>
      <c r="D833" s="1">
        <v>16110</v>
      </c>
      <c r="E833" s="1">
        <v>305742</v>
      </c>
      <c r="F833" s="2">
        <v>44832</v>
      </c>
    </row>
    <row r="834" spans="1:6" x14ac:dyDescent="0.3">
      <c r="A834">
        <v>2023</v>
      </c>
      <c r="B834" t="s">
        <v>62</v>
      </c>
      <c r="C834" t="s">
        <v>16</v>
      </c>
      <c r="D834" s="1">
        <v>5474</v>
      </c>
      <c r="E834" s="1">
        <v>120085</v>
      </c>
      <c r="F834" s="2">
        <v>49342</v>
      </c>
    </row>
    <row r="835" spans="1:6" x14ac:dyDescent="0.3">
      <c r="A835">
        <v>2023</v>
      </c>
      <c r="B835" t="s">
        <v>62</v>
      </c>
      <c r="C835" t="s">
        <v>17</v>
      </c>
      <c r="D835" s="1">
        <v>21419</v>
      </c>
      <c r="E835" s="1">
        <v>451332</v>
      </c>
      <c r="F835" s="2">
        <v>55476</v>
      </c>
    </row>
    <row r="836" spans="1:6" x14ac:dyDescent="0.3">
      <c r="A836">
        <v>2023</v>
      </c>
      <c r="B836" t="s">
        <v>62</v>
      </c>
      <c r="C836" t="s">
        <v>18</v>
      </c>
      <c r="D836" s="1">
        <v>68761</v>
      </c>
      <c r="E836" s="1">
        <v>790552</v>
      </c>
      <c r="F836" s="2">
        <v>59886</v>
      </c>
    </row>
    <row r="837" spans="1:6" x14ac:dyDescent="0.3">
      <c r="A837">
        <v>2023</v>
      </c>
      <c r="B837" t="s">
        <v>62</v>
      </c>
      <c r="C837" t="s">
        <v>19</v>
      </c>
      <c r="D837" s="1">
        <v>25357</v>
      </c>
      <c r="E837" s="1">
        <v>661203</v>
      </c>
      <c r="F837" s="2">
        <v>50845</v>
      </c>
    </row>
    <row r="838" spans="1:6" x14ac:dyDescent="0.3">
      <c r="A838">
        <v>2023</v>
      </c>
      <c r="B838" t="s">
        <v>62</v>
      </c>
      <c r="C838" t="s">
        <v>20</v>
      </c>
      <c r="D838" s="1">
        <v>20728</v>
      </c>
      <c r="E838" s="1">
        <v>530749</v>
      </c>
      <c r="F838" s="2">
        <v>52656</v>
      </c>
    </row>
    <row r="839" spans="1:6" x14ac:dyDescent="0.3">
      <c r="A839">
        <v>2023</v>
      </c>
      <c r="B839" t="s">
        <v>62</v>
      </c>
      <c r="C839" t="s">
        <v>21</v>
      </c>
      <c r="D839" s="1">
        <v>7557</v>
      </c>
      <c r="E839" s="1">
        <v>146077</v>
      </c>
      <c r="F839" s="2">
        <v>42620</v>
      </c>
    </row>
    <row r="840" spans="1:6" x14ac:dyDescent="0.3">
      <c r="A840">
        <v>2023</v>
      </c>
      <c r="B840" t="s">
        <v>62</v>
      </c>
      <c r="C840" t="s">
        <v>22</v>
      </c>
      <c r="D840" s="1">
        <v>52078</v>
      </c>
      <c r="E840" s="1">
        <v>462462</v>
      </c>
      <c r="F840" s="2">
        <v>47562</v>
      </c>
    </row>
    <row r="841" spans="1:6" x14ac:dyDescent="0.3">
      <c r="A841">
        <v>2023</v>
      </c>
      <c r="B841" t="s">
        <v>62</v>
      </c>
      <c r="C841" t="s">
        <v>23</v>
      </c>
      <c r="D841" s="1">
        <v>4834</v>
      </c>
      <c r="E841" s="1">
        <v>74646</v>
      </c>
      <c r="F841" s="2">
        <v>49258</v>
      </c>
    </row>
    <row r="842" spans="1:6" x14ac:dyDescent="0.3">
      <c r="A842">
        <v>2023</v>
      </c>
      <c r="B842" t="s">
        <v>62</v>
      </c>
      <c r="C842" t="s">
        <v>24</v>
      </c>
      <c r="D842" s="1">
        <v>11559</v>
      </c>
      <c r="E842" s="1">
        <v>139275</v>
      </c>
      <c r="F842" s="2">
        <v>48735</v>
      </c>
    </row>
    <row r="843" spans="1:6" x14ac:dyDescent="0.3">
      <c r="A843">
        <v>2023</v>
      </c>
      <c r="B843" t="s">
        <v>62</v>
      </c>
      <c r="C843" t="s">
        <v>25</v>
      </c>
      <c r="D843" s="1">
        <v>8934</v>
      </c>
      <c r="E843" s="1">
        <v>143417</v>
      </c>
      <c r="F843" s="2">
        <v>54808</v>
      </c>
    </row>
    <row r="844" spans="1:6" x14ac:dyDescent="0.3">
      <c r="A844">
        <v>2023</v>
      </c>
      <c r="B844" t="s">
        <v>62</v>
      </c>
      <c r="C844" t="s">
        <v>26</v>
      </c>
      <c r="D844" s="1">
        <v>4773</v>
      </c>
      <c r="E844" s="1">
        <v>114430</v>
      </c>
      <c r="F844" s="2">
        <v>58363</v>
      </c>
    </row>
    <row r="845" spans="1:6" x14ac:dyDescent="0.3">
      <c r="A845">
        <v>2023</v>
      </c>
      <c r="B845" t="s">
        <v>62</v>
      </c>
      <c r="C845" t="s">
        <v>27</v>
      </c>
      <c r="D845" s="1">
        <v>40687</v>
      </c>
      <c r="E845" s="1">
        <v>670070</v>
      </c>
      <c r="F845" s="2">
        <v>55124</v>
      </c>
    </row>
    <row r="846" spans="1:6" x14ac:dyDescent="0.3">
      <c r="A846">
        <v>2023</v>
      </c>
      <c r="B846" t="s">
        <v>62</v>
      </c>
      <c r="C846" t="s">
        <v>28</v>
      </c>
      <c r="D846" s="1">
        <v>10974</v>
      </c>
      <c r="E846" s="1">
        <v>130181</v>
      </c>
      <c r="F846" s="2">
        <v>42852</v>
      </c>
    </row>
    <row r="847" spans="1:6" x14ac:dyDescent="0.3">
      <c r="A847">
        <v>2023</v>
      </c>
      <c r="B847" t="s">
        <v>62</v>
      </c>
      <c r="C847" t="s">
        <v>29</v>
      </c>
      <c r="D847" s="1">
        <v>67202</v>
      </c>
      <c r="E847" s="1">
        <v>1981493</v>
      </c>
      <c r="F847" s="2">
        <v>54638</v>
      </c>
    </row>
    <row r="848" spans="1:6" x14ac:dyDescent="0.3">
      <c r="A848">
        <v>2023</v>
      </c>
      <c r="B848" t="s">
        <v>62</v>
      </c>
      <c r="C848" t="s">
        <v>30</v>
      </c>
      <c r="D848" s="1">
        <v>28199</v>
      </c>
      <c r="E848" s="1">
        <v>606564</v>
      </c>
      <c r="F848" s="2">
        <v>50123</v>
      </c>
    </row>
    <row r="849" spans="1:6" x14ac:dyDescent="0.3">
      <c r="A849">
        <v>2023</v>
      </c>
      <c r="B849" t="s">
        <v>62</v>
      </c>
      <c r="C849" t="s">
        <v>31</v>
      </c>
      <c r="D849" s="1">
        <v>2581</v>
      </c>
      <c r="E849" s="1">
        <v>65771</v>
      </c>
      <c r="F849" s="2">
        <v>52585</v>
      </c>
    </row>
    <row r="850" spans="1:6" x14ac:dyDescent="0.3">
      <c r="A850">
        <v>2023</v>
      </c>
      <c r="B850" t="s">
        <v>62</v>
      </c>
      <c r="C850" t="s">
        <v>32</v>
      </c>
      <c r="D850" s="1">
        <v>35525</v>
      </c>
      <c r="E850" s="1">
        <v>908891</v>
      </c>
      <c r="F850" s="2">
        <v>47891</v>
      </c>
    </row>
    <row r="851" spans="1:6" x14ac:dyDescent="0.3">
      <c r="A851">
        <v>2023</v>
      </c>
      <c r="B851" t="s">
        <v>62</v>
      </c>
      <c r="C851" t="s">
        <v>33</v>
      </c>
      <c r="D851" s="1">
        <v>13345</v>
      </c>
      <c r="E851" s="1">
        <v>213244</v>
      </c>
      <c r="F851" s="2">
        <v>46841</v>
      </c>
    </row>
    <row r="852" spans="1:6" x14ac:dyDescent="0.3">
      <c r="A852">
        <v>2023</v>
      </c>
      <c r="B852" t="s">
        <v>62</v>
      </c>
      <c r="C852" t="s">
        <v>34</v>
      </c>
      <c r="D852" s="1">
        <v>16113</v>
      </c>
      <c r="E852" s="1">
        <v>295311</v>
      </c>
      <c r="F852" s="2">
        <v>51842</v>
      </c>
    </row>
    <row r="853" spans="1:6" x14ac:dyDescent="0.3">
      <c r="A853">
        <v>2023</v>
      </c>
      <c r="B853" t="s">
        <v>62</v>
      </c>
      <c r="C853" t="s">
        <v>35</v>
      </c>
      <c r="D853" s="1">
        <v>57945</v>
      </c>
      <c r="E853" s="1">
        <v>1230922</v>
      </c>
      <c r="F853" s="2">
        <v>53416</v>
      </c>
    </row>
    <row r="854" spans="1:6" x14ac:dyDescent="0.3">
      <c r="A854">
        <v>2023</v>
      </c>
      <c r="B854" t="s">
        <v>62</v>
      </c>
      <c r="C854" t="s">
        <v>36</v>
      </c>
      <c r="D854" s="1">
        <v>4664</v>
      </c>
      <c r="E854" s="1">
        <v>102395</v>
      </c>
      <c r="F854" s="2">
        <v>50458</v>
      </c>
    </row>
    <row r="855" spans="1:6" x14ac:dyDescent="0.3">
      <c r="A855">
        <v>2023</v>
      </c>
      <c r="B855" t="s">
        <v>62</v>
      </c>
      <c r="C855" t="s">
        <v>37</v>
      </c>
      <c r="D855" s="1">
        <v>12757</v>
      </c>
      <c r="E855" s="1">
        <v>237600</v>
      </c>
      <c r="F855" s="2">
        <v>47296</v>
      </c>
    </row>
    <row r="856" spans="1:6" x14ac:dyDescent="0.3">
      <c r="A856">
        <v>2023</v>
      </c>
      <c r="B856" t="s">
        <v>62</v>
      </c>
      <c r="C856" t="s">
        <v>38</v>
      </c>
      <c r="D856" s="1">
        <v>2904</v>
      </c>
      <c r="E856" s="1">
        <v>68913</v>
      </c>
      <c r="F856" s="2">
        <v>52412</v>
      </c>
    </row>
    <row r="857" spans="1:6" x14ac:dyDescent="0.3">
      <c r="A857">
        <v>2023</v>
      </c>
      <c r="B857" t="s">
        <v>62</v>
      </c>
      <c r="C857" t="s">
        <v>39</v>
      </c>
      <c r="D857" s="1">
        <v>16563</v>
      </c>
      <c r="E857" s="1">
        <v>427328</v>
      </c>
      <c r="F857" s="2">
        <v>53183</v>
      </c>
    </row>
    <row r="858" spans="1:6" x14ac:dyDescent="0.3">
      <c r="A858">
        <v>2023</v>
      </c>
      <c r="B858" t="s">
        <v>62</v>
      </c>
      <c r="C858" t="s">
        <v>40</v>
      </c>
      <c r="D858" s="1">
        <v>94237</v>
      </c>
      <c r="E858" s="1">
        <v>1684606</v>
      </c>
      <c r="F858" s="2">
        <v>49322</v>
      </c>
    </row>
    <row r="859" spans="1:6" x14ac:dyDescent="0.3">
      <c r="A859">
        <v>2023</v>
      </c>
      <c r="B859" t="s">
        <v>62</v>
      </c>
      <c r="C859" t="s">
        <v>41</v>
      </c>
      <c r="D859" s="1">
        <v>12857</v>
      </c>
      <c r="E859" s="1">
        <v>193373</v>
      </c>
      <c r="F859" s="2">
        <v>44983</v>
      </c>
    </row>
    <row r="860" spans="1:6" x14ac:dyDescent="0.3">
      <c r="A860">
        <v>2023</v>
      </c>
      <c r="B860" t="s">
        <v>62</v>
      </c>
      <c r="C860" t="s">
        <v>42</v>
      </c>
      <c r="D860" s="1">
        <v>2503</v>
      </c>
      <c r="E860" s="1">
        <v>62317</v>
      </c>
      <c r="F860" s="2">
        <v>48501</v>
      </c>
    </row>
    <row r="861" spans="1:6" x14ac:dyDescent="0.3">
      <c r="A861">
        <v>2023</v>
      </c>
      <c r="B861" t="s">
        <v>62</v>
      </c>
      <c r="C861" t="s">
        <v>43</v>
      </c>
      <c r="D861" s="1">
        <v>50144</v>
      </c>
      <c r="E861" s="1">
        <v>517645</v>
      </c>
      <c r="F861" s="2">
        <v>50876</v>
      </c>
    </row>
    <row r="862" spans="1:6" x14ac:dyDescent="0.3">
      <c r="A862">
        <v>2023</v>
      </c>
      <c r="B862" t="s">
        <v>62</v>
      </c>
      <c r="C862" t="s">
        <v>44</v>
      </c>
      <c r="D862" s="1">
        <v>64023</v>
      </c>
      <c r="E862" s="1">
        <v>478274</v>
      </c>
      <c r="F862" s="2">
        <v>53267</v>
      </c>
    </row>
    <row r="863" spans="1:6" x14ac:dyDescent="0.3">
      <c r="A863">
        <v>2023</v>
      </c>
      <c r="B863" t="s">
        <v>62</v>
      </c>
      <c r="C863" t="s">
        <v>45</v>
      </c>
      <c r="D863" s="1">
        <v>5755</v>
      </c>
      <c r="E863" s="1">
        <v>125528</v>
      </c>
      <c r="F863" s="2">
        <v>47876</v>
      </c>
    </row>
    <row r="864" spans="1:6" x14ac:dyDescent="0.3">
      <c r="A864">
        <v>2023</v>
      </c>
      <c r="B864" t="s">
        <v>62</v>
      </c>
      <c r="C864" t="s">
        <v>46</v>
      </c>
      <c r="D864" s="1">
        <v>29257</v>
      </c>
      <c r="E864" s="1">
        <v>440255</v>
      </c>
      <c r="F864" s="2">
        <v>50951</v>
      </c>
    </row>
    <row r="865" spans="1:6" x14ac:dyDescent="0.3">
      <c r="A865">
        <v>2023</v>
      </c>
      <c r="B865" t="s">
        <v>62</v>
      </c>
      <c r="C865" t="s">
        <v>47</v>
      </c>
      <c r="D865" s="1">
        <v>3384</v>
      </c>
      <c r="E865" s="1">
        <v>27323</v>
      </c>
      <c r="F865" s="2">
        <v>44083</v>
      </c>
    </row>
    <row r="866" spans="1:6" x14ac:dyDescent="0.3">
      <c r="A866">
        <v>2023</v>
      </c>
      <c r="B866" t="s">
        <v>54</v>
      </c>
      <c r="C866" t="s">
        <v>0</v>
      </c>
      <c r="D866" s="1">
        <v>11180</v>
      </c>
      <c r="E866" s="1">
        <v>208446</v>
      </c>
      <c r="F866" s="2">
        <v>17618</v>
      </c>
    </row>
    <row r="867" spans="1:6" x14ac:dyDescent="0.3">
      <c r="A867">
        <v>2023</v>
      </c>
      <c r="B867" t="s">
        <v>54</v>
      </c>
      <c r="C867" t="s">
        <v>1</v>
      </c>
      <c r="D867" s="1">
        <v>14256</v>
      </c>
      <c r="E867" s="1">
        <v>331295</v>
      </c>
      <c r="F867" s="2">
        <v>25557</v>
      </c>
    </row>
    <row r="868" spans="1:6" x14ac:dyDescent="0.3">
      <c r="A868">
        <v>2023</v>
      </c>
      <c r="B868" t="s">
        <v>54</v>
      </c>
      <c r="C868" t="s">
        <v>2</v>
      </c>
      <c r="D868" s="1">
        <v>7315</v>
      </c>
      <c r="E868" s="1">
        <v>120644</v>
      </c>
      <c r="F868" s="2">
        <v>17299</v>
      </c>
    </row>
    <row r="869" spans="1:6" x14ac:dyDescent="0.3">
      <c r="A869">
        <v>2023</v>
      </c>
      <c r="B869" t="s">
        <v>54</v>
      </c>
      <c r="C869" t="s">
        <v>3</v>
      </c>
      <c r="D869" s="1">
        <v>116191</v>
      </c>
      <c r="E869" s="1">
        <v>2034920</v>
      </c>
      <c r="F869" s="2">
        <v>32379</v>
      </c>
    </row>
    <row r="870" spans="1:6" x14ac:dyDescent="0.3">
      <c r="A870">
        <v>2023</v>
      </c>
      <c r="B870" t="s">
        <v>54</v>
      </c>
      <c r="C870" t="s">
        <v>4</v>
      </c>
      <c r="D870" s="1">
        <v>17317</v>
      </c>
      <c r="E870" s="1">
        <v>344935</v>
      </c>
      <c r="F870" s="2">
        <v>27131</v>
      </c>
    </row>
    <row r="871" spans="1:6" x14ac:dyDescent="0.3">
      <c r="A871">
        <v>2023</v>
      </c>
      <c r="B871" t="s">
        <v>54</v>
      </c>
      <c r="C871" t="s">
        <v>5</v>
      </c>
      <c r="D871" s="1">
        <v>10917</v>
      </c>
      <c r="E871" s="1">
        <v>157574</v>
      </c>
      <c r="F871" s="2">
        <v>24451</v>
      </c>
    </row>
    <row r="872" spans="1:6" x14ac:dyDescent="0.3">
      <c r="A872">
        <v>2023</v>
      </c>
      <c r="B872" t="s">
        <v>54</v>
      </c>
      <c r="C872" t="s">
        <v>6</v>
      </c>
      <c r="D872" s="1">
        <v>2710</v>
      </c>
      <c r="E872" s="1">
        <v>53038</v>
      </c>
      <c r="F872" s="2">
        <v>21264</v>
      </c>
    </row>
    <row r="873" spans="1:6" x14ac:dyDescent="0.3">
      <c r="A873">
        <v>2023</v>
      </c>
      <c r="B873" t="s">
        <v>54</v>
      </c>
      <c r="C873" t="s">
        <v>7</v>
      </c>
      <c r="D873" s="1">
        <v>58596</v>
      </c>
      <c r="E873" s="1">
        <v>1257201</v>
      </c>
      <c r="F873" s="2">
        <v>26675</v>
      </c>
    </row>
    <row r="874" spans="1:6" x14ac:dyDescent="0.3">
      <c r="A874">
        <v>2023</v>
      </c>
      <c r="B874" t="s">
        <v>54</v>
      </c>
      <c r="C874" t="s">
        <v>8</v>
      </c>
      <c r="D874" s="1">
        <v>25254</v>
      </c>
      <c r="E874" s="1">
        <v>498529</v>
      </c>
      <c r="F874" s="2">
        <v>21342</v>
      </c>
    </row>
    <row r="875" spans="1:6" x14ac:dyDescent="0.3">
      <c r="A875">
        <v>2023</v>
      </c>
      <c r="B875" t="s">
        <v>54</v>
      </c>
      <c r="C875" t="s">
        <v>9</v>
      </c>
      <c r="D875" s="1">
        <v>5038</v>
      </c>
      <c r="E875" s="1">
        <v>82521</v>
      </c>
      <c r="F875" s="2">
        <v>17770</v>
      </c>
    </row>
    <row r="876" spans="1:6" x14ac:dyDescent="0.3">
      <c r="A876">
        <v>2023</v>
      </c>
      <c r="B876" t="s">
        <v>54</v>
      </c>
      <c r="C876" t="s">
        <v>10</v>
      </c>
      <c r="D876" s="1">
        <v>33183</v>
      </c>
      <c r="E876" s="1">
        <v>622987</v>
      </c>
      <c r="F876" s="2">
        <v>24703</v>
      </c>
    </row>
    <row r="877" spans="1:6" x14ac:dyDescent="0.3">
      <c r="A877">
        <v>2023</v>
      </c>
      <c r="B877" t="s">
        <v>54</v>
      </c>
      <c r="C877" t="s">
        <v>11</v>
      </c>
      <c r="D877" s="1">
        <v>15776</v>
      </c>
      <c r="E877" s="1">
        <v>313889</v>
      </c>
      <c r="F877" s="2">
        <v>19660</v>
      </c>
    </row>
    <row r="878" spans="1:6" x14ac:dyDescent="0.3">
      <c r="A878">
        <v>2023</v>
      </c>
      <c r="B878" t="s">
        <v>54</v>
      </c>
      <c r="C878" t="s">
        <v>12</v>
      </c>
      <c r="D878" s="1">
        <v>8796</v>
      </c>
      <c r="E878" s="1">
        <v>144265</v>
      </c>
      <c r="F878" s="2">
        <v>17261</v>
      </c>
    </row>
    <row r="879" spans="1:6" x14ac:dyDescent="0.3">
      <c r="A879">
        <v>2023</v>
      </c>
      <c r="B879" t="s">
        <v>54</v>
      </c>
      <c r="C879" t="s">
        <v>13</v>
      </c>
      <c r="D879" s="1">
        <v>6871</v>
      </c>
      <c r="E879" s="1">
        <v>130101</v>
      </c>
      <c r="F879" s="2">
        <v>17333</v>
      </c>
    </row>
    <row r="880" spans="1:6" x14ac:dyDescent="0.3">
      <c r="A880">
        <v>2023</v>
      </c>
      <c r="B880" t="s">
        <v>54</v>
      </c>
      <c r="C880" t="s">
        <v>14</v>
      </c>
      <c r="D880" s="1">
        <v>10118</v>
      </c>
      <c r="E880" s="1">
        <v>202148</v>
      </c>
      <c r="F880" s="2">
        <v>18350</v>
      </c>
    </row>
    <row r="881" spans="1:6" x14ac:dyDescent="0.3">
      <c r="A881">
        <v>2023</v>
      </c>
      <c r="B881" t="s">
        <v>54</v>
      </c>
      <c r="C881" t="s">
        <v>15</v>
      </c>
      <c r="D881" s="1">
        <v>12912</v>
      </c>
      <c r="E881" s="1">
        <v>237469</v>
      </c>
      <c r="F881" s="2">
        <v>21789</v>
      </c>
    </row>
    <row r="882" spans="1:6" x14ac:dyDescent="0.3">
      <c r="A882">
        <v>2023</v>
      </c>
      <c r="B882" t="s">
        <v>54</v>
      </c>
      <c r="C882" t="s">
        <v>16</v>
      </c>
      <c r="D882" s="1">
        <v>5132</v>
      </c>
      <c r="E882" s="1">
        <v>69501</v>
      </c>
      <c r="F882" s="2">
        <v>23169</v>
      </c>
    </row>
    <row r="883" spans="1:6" x14ac:dyDescent="0.3">
      <c r="A883">
        <v>2023</v>
      </c>
      <c r="B883" t="s">
        <v>54</v>
      </c>
      <c r="C883" t="s">
        <v>17</v>
      </c>
      <c r="D883" s="1">
        <v>15043</v>
      </c>
      <c r="E883" s="1">
        <v>282746</v>
      </c>
      <c r="F883" s="2">
        <v>24758</v>
      </c>
    </row>
    <row r="884" spans="1:6" x14ac:dyDescent="0.3">
      <c r="A884">
        <v>2023</v>
      </c>
      <c r="B884" t="s">
        <v>54</v>
      </c>
      <c r="C884" t="s">
        <v>18</v>
      </c>
      <c r="D884" s="1">
        <v>20740</v>
      </c>
      <c r="E884" s="1">
        <v>379863</v>
      </c>
      <c r="F884" s="2">
        <v>29500</v>
      </c>
    </row>
    <row r="885" spans="1:6" x14ac:dyDescent="0.3">
      <c r="A885">
        <v>2023</v>
      </c>
      <c r="B885" t="s">
        <v>54</v>
      </c>
      <c r="C885" t="s">
        <v>19</v>
      </c>
      <c r="D885" s="1">
        <v>23113</v>
      </c>
      <c r="E885" s="1">
        <v>434299</v>
      </c>
      <c r="F885" s="2">
        <v>21121</v>
      </c>
    </row>
    <row r="886" spans="1:6" x14ac:dyDescent="0.3">
      <c r="A886">
        <v>2023</v>
      </c>
      <c r="B886" t="s">
        <v>54</v>
      </c>
      <c r="C886" t="s">
        <v>20</v>
      </c>
      <c r="D886" s="1">
        <v>15325</v>
      </c>
      <c r="E886" s="1">
        <v>275608</v>
      </c>
      <c r="F886" s="2">
        <v>23261</v>
      </c>
    </row>
    <row r="887" spans="1:6" x14ac:dyDescent="0.3">
      <c r="A887">
        <v>2023</v>
      </c>
      <c r="B887" t="s">
        <v>54</v>
      </c>
      <c r="C887" t="s">
        <v>21</v>
      </c>
      <c r="D887" s="1">
        <v>6514</v>
      </c>
      <c r="E887" s="1">
        <v>136282</v>
      </c>
      <c r="F887" s="2">
        <v>17817</v>
      </c>
    </row>
    <row r="888" spans="1:6" x14ac:dyDescent="0.3">
      <c r="A888">
        <v>2023</v>
      </c>
      <c r="B888" t="s">
        <v>54</v>
      </c>
      <c r="C888" t="s">
        <v>22</v>
      </c>
      <c r="D888" s="1">
        <v>15195</v>
      </c>
      <c r="E888" s="1">
        <v>308646</v>
      </c>
      <c r="F888" s="2">
        <v>21614</v>
      </c>
    </row>
    <row r="889" spans="1:6" x14ac:dyDescent="0.3">
      <c r="A889">
        <v>2023</v>
      </c>
      <c r="B889" t="s">
        <v>54</v>
      </c>
      <c r="C889" t="s">
        <v>23</v>
      </c>
      <c r="D889" s="1">
        <v>5052</v>
      </c>
      <c r="E889" s="1">
        <v>67008</v>
      </c>
      <c r="F889" s="2">
        <v>19955</v>
      </c>
    </row>
    <row r="890" spans="1:6" x14ac:dyDescent="0.3">
      <c r="A890">
        <v>2023</v>
      </c>
      <c r="B890" t="s">
        <v>54</v>
      </c>
      <c r="C890" t="s">
        <v>24</v>
      </c>
      <c r="D890" s="1">
        <v>5609</v>
      </c>
      <c r="E890" s="1">
        <v>93856</v>
      </c>
      <c r="F890" s="2">
        <v>17213</v>
      </c>
    </row>
    <row r="891" spans="1:6" x14ac:dyDescent="0.3">
      <c r="A891">
        <v>2023</v>
      </c>
      <c r="B891" t="s">
        <v>54</v>
      </c>
      <c r="C891" t="s">
        <v>25</v>
      </c>
      <c r="D891" s="1">
        <v>8716</v>
      </c>
      <c r="E891" s="1">
        <v>355178</v>
      </c>
      <c r="F891" s="2">
        <v>34432</v>
      </c>
    </row>
    <row r="892" spans="1:6" x14ac:dyDescent="0.3">
      <c r="A892">
        <v>2023</v>
      </c>
      <c r="B892" t="s">
        <v>54</v>
      </c>
      <c r="C892" t="s">
        <v>26</v>
      </c>
      <c r="D892" s="1">
        <v>4675</v>
      </c>
      <c r="E892" s="1">
        <v>73214</v>
      </c>
      <c r="F892" s="2">
        <v>22783</v>
      </c>
    </row>
    <row r="893" spans="1:6" x14ac:dyDescent="0.3">
      <c r="A893">
        <v>2023</v>
      </c>
      <c r="B893" t="s">
        <v>54</v>
      </c>
      <c r="C893" t="s">
        <v>27</v>
      </c>
      <c r="D893" s="1">
        <v>24526</v>
      </c>
      <c r="E893" s="1">
        <v>391519</v>
      </c>
      <c r="F893" s="2">
        <v>26347</v>
      </c>
    </row>
    <row r="894" spans="1:6" x14ac:dyDescent="0.3">
      <c r="A894">
        <v>2023</v>
      </c>
      <c r="B894" t="s">
        <v>54</v>
      </c>
      <c r="C894" t="s">
        <v>28</v>
      </c>
      <c r="D894" s="1">
        <v>5277</v>
      </c>
      <c r="E894" s="1">
        <v>99656</v>
      </c>
      <c r="F894" s="2">
        <v>19571</v>
      </c>
    </row>
    <row r="895" spans="1:6" x14ac:dyDescent="0.3">
      <c r="A895">
        <v>2023</v>
      </c>
      <c r="B895" t="s">
        <v>54</v>
      </c>
      <c r="C895" t="s">
        <v>29</v>
      </c>
      <c r="D895" s="1">
        <v>65868</v>
      </c>
      <c r="E895" s="1">
        <v>957897</v>
      </c>
      <c r="F895" s="2">
        <v>35828</v>
      </c>
    </row>
    <row r="896" spans="1:6" x14ac:dyDescent="0.3">
      <c r="A896">
        <v>2023</v>
      </c>
      <c r="B896" t="s">
        <v>54</v>
      </c>
      <c r="C896" t="s">
        <v>30</v>
      </c>
      <c r="D896" s="1">
        <v>26474</v>
      </c>
      <c r="E896" s="1">
        <v>515152</v>
      </c>
      <c r="F896" s="2">
        <v>20460</v>
      </c>
    </row>
    <row r="897" spans="1:6" x14ac:dyDescent="0.3">
      <c r="A897">
        <v>2023</v>
      </c>
      <c r="B897" t="s">
        <v>54</v>
      </c>
      <c r="C897" t="s">
        <v>31</v>
      </c>
      <c r="D897" s="1">
        <v>2610</v>
      </c>
      <c r="E897" s="1">
        <v>40423</v>
      </c>
      <c r="F897" s="2">
        <v>18573</v>
      </c>
    </row>
    <row r="898" spans="1:6" x14ac:dyDescent="0.3">
      <c r="A898">
        <v>2023</v>
      </c>
      <c r="B898" t="s">
        <v>54</v>
      </c>
      <c r="C898" t="s">
        <v>32</v>
      </c>
      <c r="D898" s="1">
        <v>29035</v>
      </c>
      <c r="E898" s="1">
        <v>570254</v>
      </c>
      <c r="F898" s="2">
        <v>20237</v>
      </c>
    </row>
    <row r="899" spans="1:6" x14ac:dyDescent="0.3">
      <c r="A899">
        <v>2023</v>
      </c>
      <c r="B899" t="s">
        <v>54</v>
      </c>
      <c r="C899" t="s">
        <v>33</v>
      </c>
      <c r="D899" s="1">
        <v>9209</v>
      </c>
      <c r="E899" s="1">
        <v>174213</v>
      </c>
      <c r="F899" s="2">
        <v>18600</v>
      </c>
    </row>
    <row r="900" spans="1:6" x14ac:dyDescent="0.3">
      <c r="A900">
        <v>2023</v>
      </c>
      <c r="B900" t="s">
        <v>54</v>
      </c>
      <c r="C900" t="s">
        <v>34</v>
      </c>
      <c r="D900" s="1">
        <v>14116</v>
      </c>
      <c r="E900" s="1">
        <v>213454</v>
      </c>
      <c r="F900" s="2">
        <v>23818</v>
      </c>
    </row>
    <row r="901" spans="1:6" x14ac:dyDescent="0.3">
      <c r="A901">
        <v>2023</v>
      </c>
      <c r="B901" t="s">
        <v>54</v>
      </c>
      <c r="C901" t="s">
        <v>35</v>
      </c>
      <c r="D901" s="1">
        <v>33729</v>
      </c>
      <c r="E901" s="1">
        <v>577911</v>
      </c>
      <c r="F901" s="2">
        <v>22011</v>
      </c>
    </row>
    <row r="902" spans="1:6" x14ac:dyDescent="0.3">
      <c r="A902">
        <v>2023</v>
      </c>
      <c r="B902" t="s">
        <v>54</v>
      </c>
      <c r="C902" t="s">
        <v>36</v>
      </c>
      <c r="D902" s="1">
        <v>3873</v>
      </c>
      <c r="E902" s="1">
        <v>60008</v>
      </c>
      <c r="F902" s="2">
        <v>23680</v>
      </c>
    </row>
    <row r="903" spans="1:6" x14ac:dyDescent="0.3">
      <c r="A903">
        <v>2023</v>
      </c>
      <c r="B903" t="s">
        <v>54</v>
      </c>
      <c r="C903" t="s">
        <v>37</v>
      </c>
      <c r="D903" s="1">
        <v>13400</v>
      </c>
      <c r="E903" s="1">
        <v>270473</v>
      </c>
      <c r="F903" s="2">
        <v>18816</v>
      </c>
    </row>
    <row r="904" spans="1:6" x14ac:dyDescent="0.3">
      <c r="A904">
        <v>2023</v>
      </c>
      <c r="B904" t="s">
        <v>54</v>
      </c>
      <c r="C904" t="s">
        <v>38</v>
      </c>
      <c r="D904" s="1">
        <v>3191</v>
      </c>
      <c r="E904" s="1">
        <v>47413</v>
      </c>
      <c r="F904" s="2">
        <v>17519</v>
      </c>
    </row>
    <row r="905" spans="1:6" x14ac:dyDescent="0.3">
      <c r="A905">
        <v>2023</v>
      </c>
      <c r="B905" t="s">
        <v>54</v>
      </c>
      <c r="C905" t="s">
        <v>39</v>
      </c>
      <c r="D905" s="1">
        <v>16924</v>
      </c>
      <c r="E905" s="1">
        <v>347181</v>
      </c>
      <c r="F905" s="2">
        <v>23878</v>
      </c>
    </row>
    <row r="906" spans="1:6" x14ac:dyDescent="0.3">
      <c r="A906">
        <v>2023</v>
      </c>
      <c r="B906" t="s">
        <v>54</v>
      </c>
      <c r="C906" t="s">
        <v>40</v>
      </c>
      <c r="D906" s="1">
        <v>65057</v>
      </c>
      <c r="E906" s="1">
        <v>1394036</v>
      </c>
      <c r="F906" s="2">
        <v>22762</v>
      </c>
    </row>
    <row r="907" spans="1:6" x14ac:dyDescent="0.3">
      <c r="A907">
        <v>2023</v>
      </c>
      <c r="B907" t="s">
        <v>54</v>
      </c>
      <c r="C907" t="s">
        <v>41</v>
      </c>
      <c r="D907" s="1">
        <v>7570</v>
      </c>
      <c r="E907" s="1">
        <v>153412</v>
      </c>
      <c r="F907" s="2">
        <v>20955</v>
      </c>
    </row>
    <row r="908" spans="1:6" x14ac:dyDescent="0.3">
      <c r="A908">
        <v>2023</v>
      </c>
      <c r="B908" t="s">
        <v>54</v>
      </c>
      <c r="C908" t="s">
        <v>42</v>
      </c>
      <c r="D908" s="1">
        <v>2268</v>
      </c>
      <c r="E908" s="1">
        <v>37208</v>
      </c>
      <c r="F908" s="2">
        <v>23863</v>
      </c>
    </row>
    <row r="909" spans="1:6" x14ac:dyDescent="0.3">
      <c r="A909">
        <v>2023</v>
      </c>
      <c r="B909" t="s">
        <v>54</v>
      </c>
      <c r="C909" t="s">
        <v>43</v>
      </c>
      <c r="D909" s="1">
        <v>20743</v>
      </c>
      <c r="E909" s="1">
        <v>408354</v>
      </c>
      <c r="F909" s="2">
        <v>21582</v>
      </c>
    </row>
    <row r="910" spans="1:6" x14ac:dyDescent="0.3">
      <c r="A910">
        <v>2023</v>
      </c>
      <c r="B910" t="s">
        <v>54</v>
      </c>
      <c r="C910" t="s">
        <v>44</v>
      </c>
      <c r="D910" s="1">
        <v>20637</v>
      </c>
      <c r="E910" s="1">
        <v>341265</v>
      </c>
      <c r="F910" s="2">
        <v>26566</v>
      </c>
    </row>
    <row r="911" spans="1:6" x14ac:dyDescent="0.3">
      <c r="A911">
        <v>2023</v>
      </c>
      <c r="B911" t="s">
        <v>54</v>
      </c>
      <c r="C911" t="s">
        <v>45</v>
      </c>
      <c r="D911" s="1">
        <v>4658</v>
      </c>
      <c r="E911" s="1">
        <v>75027</v>
      </c>
      <c r="F911" s="2">
        <v>18256</v>
      </c>
    </row>
    <row r="912" spans="1:6" x14ac:dyDescent="0.3">
      <c r="A912">
        <v>2023</v>
      </c>
      <c r="B912" t="s">
        <v>54</v>
      </c>
      <c r="C912" t="s">
        <v>46</v>
      </c>
      <c r="D912" s="1">
        <v>17015</v>
      </c>
      <c r="E912" s="1">
        <v>285279</v>
      </c>
      <c r="F912" s="2">
        <v>18758</v>
      </c>
    </row>
    <row r="913" spans="1:6" x14ac:dyDescent="0.3">
      <c r="A913">
        <v>2023</v>
      </c>
      <c r="B913" t="s">
        <v>54</v>
      </c>
      <c r="C913" t="s">
        <v>47</v>
      </c>
      <c r="D913" s="1">
        <v>2398</v>
      </c>
      <c r="E913" s="1">
        <v>37041</v>
      </c>
      <c r="F913" s="2">
        <v>21994</v>
      </c>
    </row>
    <row r="914" spans="1:6" x14ac:dyDescent="0.3">
      <c r="A914">
        <v>2023</v>
      </c>
      <c r="B914" t="s">
        <v>63</v>
      </c>
      <c r="C914" t="s">
        <v>0</v>
      </c>
      <c r="D914" s="1">
        <v>10189</v>
      </c>
      <c r="E914" s="1">
        <v>46816</v>
      </c>
      <c r="F914" s="2">
        <v>38607</v>
      </c>
    </row>
    <row r="915" spans="1:6" x14ac:dyDescent="0.3">
      <c r="A915">
        <v>2023</v>
      </c>
      <c r="B915" t="s">
        <v>63</v>
      </c>
      <c r="C915" t="s">
        <v>1</v>
      </c>
      <c r="D915" s="1">
        <v>10674</v>
      </c>
      <c r="E915" s="1">
        <v>75782</v>
      </c>
      <c r="F915" s="2">
        <v>39965</v>
      </c>
    </row>
    <row r="916" spans="1:6" x14ac:dyDescent="0.3">
      <c r="A916">
        <v>2023</v>
      </c>
      <c r="B916" t="s">
        <v>63</v>
      </c>
      <c r="C916" t="s">
        <v>2</v>
      </c>
      <c r="D916" s="1">
        <v>5359</v>
      </c>
      <c r="E916" s="1">
        <v>25279</v>
      </c>
      <c r="F916" s="2">
        <v>36115</v>
      </c>
    </row>
    <row r="917" spans="1:6" x14ac:dyDescent="0.3">
      <c r="A917">
        <v>2023</v>
      </c>
      <c r="B917" t="s">
        <v>63</v>
      </c>
      <c r="C917" t="s">
        <v>3</v>
      </c>
      <c r="D917" s="1">
        <v>97442</v>
      </c>
      <c r="E917" s="1">
        <v>547972</v>
      </c>
      <c r="F917" s="2">
        <v>42293</v>
      </c>
    </row>
    <row r="918" spans="1:6" x14ac:dyDescent="0.3">
      <c r="A918">
        <v>2023</v>
      </c>
      <c r="B918" t="s">
        <v>63</v>
      </c>
      <c r="C918" t="s">
        <v>4</v>
      </c>
      <c r="D918" s="1">
        <v>17008</v>
      </c>
      <c r="E918" s="1">
        <v>84571</v>
      </c>
      <c r="F918" s="2">
        <v>42381</v>
      </c>
    </row>
    <row r="919" spans="1:6" x14ac:dyDescent="0.3">
      <c r="A919">
        <v>2023</v>
      </c>
      <c r="B919" t="s">
        <v>63</v>
      </c>
      <c r="C919" t="s">
        <v>5</v>
      </c>
      <c r="D919" s="1">
        <v>18146</v>
      </c>
      <c r="E919" s="1">
        <v>66497</v>
      </c>
      <c r="F919" s="2">
        <v>34861</v>
      </c>
    </row>
    <row r="920" spans="1:6" x14ac:dyDescent="0.3">
      <c r="A920">
        <v>2023</v>
      </c>
      <c r="B920" t="s">
        <v>63</v>
      </c>
      <c r="C920" t="s">
        <v>6</v>
      </c>
      <c r="D920" s="1">
        <v>2052</v>
      </c>
      <c r="E920" s="1">
        <v>12125</v>
      </c>
      <c r="F920" s="2">
        <v>35636</v>
      </c>
    </row>
    <row r="921" spans="1:6" x14ac:dyDescent="0.3">
      <c r="A921">
        <v>2023</v>
      </c>
      <c r="B921" t="s">
        <v>63</v>
      </c>
      <c r="C921" t="s">
        <v>7</v>
      </c>
      <c r="D921" s="1">
        <v>56765</v>
      </c>
      <c r="E921" s="1">
        <v>281975</v>
      </c>
      <c r="F921" s="2">
        <v>37969</v>
      </c>
    </row>
    <row r="922" spans="1:6" x14ac:dyDescent="0.3">
      <c r="A922">
        <v>2023</v>
      </c>
      <c r="B922" t="s">
        <v>63</v>
      </c>
      <c r="C922" t="s">
        <v>8</v>
      </c>
      <c r="D922" s="1">
        <v>18227</v>
      </c>
      <c r="E922" s="1">
        <v>111902</v>
      </c>
      <c r="F922" s="2">
        <v>37971</v>
      </c>
    </row>
    <row r="923" spans="1:6" x14ac:dyDescent="0.3">
      <c r="A923">
        <v>2023</v>
      </c>
      <c r="B923" t="s">
        <v>63</v>
      </c>
      <c r="C923" t="s">
        <v>9</v>
      </c>
      <c r="D923" s="1">
        <v>3845</v>
      </c>
      <c r="E923" s="1">
        <v>19414</v>
      </c>
      <c r="F923" s="2">
        <v>32615</v>
      </c>
    </row>
    <row r="924" spans="1:6" x14ac:dyDescent="0.3">
      <c r="A924">
        <v>2023</v>
      </c>
      <c r="B924" t="s">
        <v>63</v>
      </c>
      <c r="C924" t="s">
        <v>10</v>
      </c>
      <c r="D924" s="1">
        <v>39884</v>
      </c>
      <c r="E924" s="1">
        <v>209967</v>
      </c>
      <c r="F924" s="2">
        <v>43714</v>
      </c>
    </row>
    <row r="925" spans="1:6" x14ac:dyDescent="0.3">
      <c r="A925">
        <v>2023</v>
      </c>
      <c r="B925" t="s">
        <v>63</v>
      </c>
      <c r="C925" t="s">
        <v>11</v>
      </c>
      <c r="D925" s="1">
        <v>12916</v>
      </c>
      <c r="E925" s="1">
        <v>89273</v>
      </c>
      <c r="F925" s="2">
        <v>33759</v>
      </c>
    </row>
    <row r="926" spans="1:6" x14ac:dyDescent="0.3">
      <c r="A926">
        <v>2023</v>
      </c>
      <c r="B926" t="s">
        <v>63</v>
      </c>
      <c r="C926" t="s">
        <v>12</v>
      </c>
      <c r="D926" s="1">
        <v>8547</v>
      </c>
      <c r="E926" s="1">
        <v>42519</v>
      </c>
      <c r="F926" s="2">
        <v>36534</v>
      </c>
    </row>
    <row r="927" spans="1:6" x14ac:dyDescent="0.3">
      <c r="A927">
        <v>2023</v>
      </c>
      <c r="B927" t="s">
        <v>63</v>
      </c>
      <c r="C927" t="s">
        <v>13</v>
      </c>
      <c r="D927" s="1">
        <v>5938</v>
      </c>
      <c r="E927" s="1">
        <v>34833</v>
      </c>
      <c r="F927" s="2">
        <v>35624</v>
      </c>
    </row>
    <row r="928" spans="1:6" x14ac:dyDescent="0.3">
      <c r="A928">
        <v>2023</v>
      </c>
      <c r="B928" t="s">
        <v>63</v>
      </c>
      <c r="C928" t="s">
        <v>14</v>
      </c>
      <c r="D928" s="1">
        <v>10404</v>
      </c>
      <c r="E928" s="1">
        <v>46571</v>
      </c>
      <c r="F928" s="2">
        <v>34846</v>
      </c>
    </row>
    <row r="929" spans="1:6" x14ac:dyDescent="0.3">
      <c r="A929">
        <v>2023</v>
      </c>
      <c r="B929" t="s">
        <v>63</v>
      </c>
      <c r="C929" t="s">
        <v>15</v>
      </c>
      <c r="D929" s="1">
        <v>9280</v>
      </c>
      <c r="E929" s="1">
        <v>46391</v>
      </c>
      <c r="F929" s="2">
        <v>38963</v>
      </c>
    </row>
    <row r="930" spans="1:6" x14ac:dyDescent="0.3">
      <c r="A930">
        <v>2023</v>
      </c>
      <c r="B930" t="s">
        <v>63</v>
      </c>
      <c r="C930" t="s">
        <v>16</v>
      </c>
      <c r="D930" s="1">
        <v>3777</v>
      </c>
      <c r="E930" s="1">
        <v>17863</v>
      </c>
      <c r="F930" s="2">
        <v>35322</v>
      </c>
    </row>
    <row r="931" spans="1:6" x14ac:dyDescent="0.3">
      <c r="A931">
        <v>2023</v>
      </c>
      <c r="B931" t="s">
        <v>63</v>
      </c>
      <c r="C931" t="s">
        <v>17</v>
      </c>
      <c r="D931" s="1">
        <v>19358</v>
      </c>
      <c r="E931" s="1">
        <v>91545</v>
      </c>
      <c r="F931" s="2">
        <v>44150</v>
      </c>
    </row>
    <row r="932" spans="1:6" x14ac:dyDescent="0.3">
      <c r="A932">
        <v>2023</v>
      </c>
      <c r="B932" t="s">
        <v>63</v>
      </c>
      <c r="C932" t="s">
        <v>18</v>
      </c>
      <c r="D932" s="1">
        <v>22046</v>
      </c>
      <c r="E932" s="1">
        <v>121404</v>
      </c>
      <c r="F932" s="2">
        <v>40421</v>
      </c>
    </row>
    <row r="933" spans="1:6" x14ac:dyDescent="0.3">
      <c r="A933">
        <v>2023</v>
      </c>
      <c r="B933" t="s">
        <v>63</v>
      </c>
      <c r="C933" t="s">
        <v>19</v>
      </c>
      <c r="D933" s="1">
        <v>32480</v>
      </c>
      <c r="E933" s="1">
        <v>140352</v>
      </c>
      <c r="F933" s="2">
        <v>34330</v>
      </c>
    </row>
    <row r="934" spans="1:6" x14ac:dyDescent="0.3">
      <c r="A934">
        <v>2023</v>
      </c>
      <c r="B934" t="s">
        <v>63</v>
      </c>
      <c r="C934" t="s">
        <v>20</v>
      </c>
      <c r="D934" s="1">
        <v>17266</v>
      </c>
      <c r="E934" s="1">
        <v>91238</v>
      </c>
      <c r="F934" s="2">
        <v>35478</v>
      </c>
    </row>
    <row r="935" spans="1:6" x14ac:dyDescent="0.3">
      <c r="A935">
        <v>2023</v>
      </c>
      <c r="B935" t="s">
        <v>63</v>
      </c>
      <c r="C935" t="s">
        <v>21</v>
      </c>
      <c r="D935" s="1">
        <v>4589</v>
      </c>
      <c r="E935" s="1">
        <v>21043</v>
      </c>
      <c r="F935" s="2">
        <v>36243</v>
      </c>
    </row>
    <row r="936" spans="1:6" x14ac:dyDescent="0.3">
      <c r="A936">
        <v>2023</v>
      </c>
      <c r="B936" t="s">
        <v>63</v>
      </c>
      <c r="C936" t="s">
        <v>22</v>
      </c>
      <c r="D936" s="1">
        <v>13240</v>
      </c>
      <c r="E936" s="1">
        <v>75829</v>
      </c>
      <c r="F936" s="2">
        <v>35224</v>
      </c>
    </row>
    <row r="937" spans="1:6" x14ac:dyDescent="0.3">
      <c r="A937">
        <v>2023</v>
      </c>
      <c r="B937" t="s">
        <v>63</v>
      </c>
      <c r="C937" t="s">
        <v>23</v>
      </c>
      <c r="D937" s="1">
        <v>4153</v>
      </c>
      <c r="E937" s="1">
        <v>18442</v>
      </c>
      <c r="F937" s="2">
        <v>31791</v>
      </c>
    </row>
    <row r="938" spans="1:6" x14ac:dyDescent="0.3">
      <c r="A938">
        <v>2023</v>
      </c>
      <c r="B938" t="s">
        <v>63</v>
      </c>
      <c r="C938" t="s">
        <v>24</v>
      </c>
      <c r="D938" s="1">
        <v>4572</v>
      </c>
      <c r="E938" s="1">
        <v>25509</v>
      </c>
      <c r="F938" s="2">
        <v>33587</v>
      </c>
    </row>
    <row r="939" spans="1:6" x14ac:dyDescent="0.3">
      <c r="A939">
        <v>2023</v>
      </c>
      <c r="B939" t="s">
        <v>63</v>
      </c>
      <c r="C939" t="s">
        <v>25</v>
      </c>
      <c r="D939" s="1">
        <v>5140</v>
      </c>
      <c r="E939" s="1">
        <v>35449</v>
      </c>
      <c r="F939" s="2">
        <v>38479</v>
      </c>
    </row>
    <row r="940" spans="1:6" x14ac:dyDescent="0.3">
      <c r="A940">
        <v>2023</v>
      </c>
      <c r="B940" t="s">
        <v>63</v>
      </c>
      <c r="C940" t="s">
        <v>26</v>
      </c>
      <c r="D940" s="1">
        <v>4011</v>
      </c>
      <c r="E940" s="1">
        <v>21600</v>
      </c>
      <c r="F940" s="2">
        <v>39236</v>
      </c>
    </row>
    <row r="941" spans="1:6" x14ac:dyDescent="0.3">
      <c r="A941">
        <v>2023</v>
      </c>
      <c r="B941" t="s">
        <v>63</v>
      </c>
      <c r="C941" t="s">
        <v>27</v>
      </c>
      <c r="D941" s="1">
        <v>24469</v>
      </c>
      <c r="E941" s="1">
        <v>138255</v>
      </c>
      <c r="F941" s="2">
        <v>37373</v>
      </c>
    </row>
    <row r="942" spans="1:6" x14ac:dyDescent="0.3">
      <c r="A942">
        <v>2023</v>
      </c>
      <c r="B942" t="s">
        <v>63</v>
      </c>
      <c r="C942" t="s">
        <v>28</v>
      </c>
      <c r="D942" s="1">
        <v>4216</v>
      </c>
      <c r="E942" s="1">
        <v>21214</v>
      </c>
      <c r="F942" s="2">
        <v>35417</v>
      </c>
    </row>
    <row r="943" spans="1:6" x14ac:dyDescent="0.3">
      <c r="A943">
        <v>2023</v>
      </c>
      <c r="B943" t="s">
        <v>63</v>
      </c>
      <c r="C943" t="s">
        <v>29</v>
      </c>
      <c r="D943" s="1">
        <v>72430</v>
      </c>
      <c r="E943" s="1">
        <v>371218</v>
      </c>
      <c r="F943" s="2">
        <v>43410</v>
      </c>
    </row>
    <row r="944" spans="1:6" x14ac:dyDescent="0.3">
      <c r="A944">
        <v>2023</v>
      </c>
      <c r="B944" t="s">
        <v>63</v>
      </c>
      <c r="C944" t="s">
        <v>30</v>
      </c>
      <c r="D944" s="1">
        <v>24457</v>
      </c>
      <c r="E944" s="1">
        <v>115119</v>
      </c>
      <c r="F944" s="2">
        <v>36624</v>
      </c>
    </row>
    <row r="945" spans="1:6" x14ac:dyDescent="0.3">
      <c r="A945">
        <v>2023</v>
      </c>
      <c r="B945" t="s">
        <v>63</v>
      </c>
      <c r="C945" t="s">
        <v>31</v>
      </c>
      <c r="D945" s="1">
        <v>2047</v>
      </c>
      <c r="E945" s="1">
        <v>11337</v>
      </c>
      <c r="F945" s="2">
        <v>38696</v>
      </c>
    </row>
    <row r="946" spans="1:6" x14ac:dyDescent="0.3">
      <c r="A946">
        <v>2023</v>
      </c>
      <c r="B946" t="s">
        <v>63</v>
      </c>
      <c r="C946" t="s">
        <v>32</v>
      </c>
      <c r="D946" s="1">
        <v>23639</v>
      </c>
      <c r="E946" s="1">
        <v>157001</v>
      </c>
      <c r="F946" s="2">
        <v>35006</v>
      </c>
    </row>
    <row r="947" spans="1:6" x14ac:dyDescent="0.3">
      <c r="A947">
        <v>2023</v>
      </c>
      <c r="B947" t="s">
        <v>63</v>
      </c>
      <c r="C947" t="s">
        <v>33</v>
      </c>
      <c r="D947" s="1">
        <v>6589</v>
      </c>
      <c r="E947" s="1">
        <v>36706</v>
      </c>
      <c r="F947" s="2">
        <v>36151</v>
      </c>
    </row>
    <row r="948" spans="1:6" x14ac:dyDescent="0.3">
      <c r="A948">
        <v>2023</v>
      </c>
      <c r="B948" t="s">
        <v>63</v>
      </c>
      <c r="C948" t="s">
        <v>34</v>
      </c>
      <c r="D948" s="1">
        <v>25468</v>
      </c>
      <c r="E948" s="1">
        <v>78423</v>
      </c>
      <c r="F948" s="2">
        <v>35467</v>
      </c>
    </row>
    <row r="949" spans="1:6" x14ac:dyDescent="0.3">
      <c r="A949">
        <v>2023</v>
      </c>
      <c r="B949" t="s">
        <v>63</v>
      </c>
      <c r="C949" t="s">
        <v>35</v>
      </c>
      <c r="D949" s="1">
        <v>33082</v>
      </c>
      <c r="E949" s="1">
        <v>202171</v>
      </c>
      <c r="F949" s="2">
        <v>35131</v>
      </c>
    </row>
    <row r="950" spans="1:6" x14ac:dyDescent="0.3">
      <c r="A950">
        <v>2023</v>
      </c>
      <c r="B950" t="s">
        <v>63</v>
      </c>
      <c r="C950" t="s">
        <v>36</v>
      </c>
      <c r="D950" s="1">
        <v>3537</v>
      </c>
      <c r="E950" s="1">
        <v>18157</v>
      </c>
      <c r="F950" s="2">
        <v>34466</v>
      </c>
    </row>
    <row r="951" spans="1:6" x14ac:dyDescent="0.3">
      <c r="A951">
        <v>2023</v>
      </c>
      <c r="B951" t="s">
        <v>63</v>
      </c>
      <c r="C951" t="s">
        <v>37</v>
      </c>
      <c r="D951" s="1">
        <v>12142</v>
      </c>
      <c r="E951" s="1">
        <v>54906</v>
      </c>
      <c r="F951" s="2">
        <v>34386</v>
      </c>
    </row>
    <row r="952" spans="1:6" x14ac:dyDescent="0.3">
      <c r="A952">
        <v>2023</v>
      </c>
      <c r="B952" t="s">
        <v>63</v>
      </c>
      <c r="C952" t="s">
        <v>38</v>
      </c>
      <c r="D952" s="1">
        <v>2223</v>
      </c>
      <c r="E952" s="1">
        <v>11326</v>
      </c>
      <c r="F952" s="2">
        <v>34233</v>
      </c>
    </row>
    <row r="953" spans="1:6" x14ac:dyDescent="0.3">
      <c r="A953">
        <v>2023</v>
      </c>
      <c r="B953" t="s">
        <v>63</v>
      </c>
      <c r="C953" t="s">
        <v>39</v>
      </c>
      <c r="D953" s="1">
        <v>15931</v>
      </c>
      <c r="E953" s="1">
        <v>80484</v>
      </c>
      <c r="F953" s="2">
        <v>36227</v>
      </c>
    </row>
    <row r="954" spans="1:6" x14ac:dyDescent="0.3">
      <c r="A954">
        <v>2023</v>
      </c>
      <c r="B954" t="s">
        <v>63</v>
      </c>
      <c r="C954" t="s">
        <v>40</v>
      </c>
      <c r="D954" s="1">
        <v>57504</v>
      </c>
      <c r="E954" s="1">
        <v>343287</v>
      </c>
      <c r="F954" s="2">
        <v>41110</v>
      </c>
    </row>
    <row r="955" spans="1:6" x14ac:dyDescent="0.3">
      <c r="A955">
        <v>2023</v>
      </c>
      <c r="B955" t="s">
        <v>63</v>
      </c>
      <c r="C955" t="s">
        <v>41</v>
      </c>
      <c r="D955" s="1">
        <v>6492</v>
      </c>
      <c r="E955" s="1">
        <v>37200</v>
      </c>
      <c r="F955" s="2">
        <v>37389</v>
      </c>
    </row>
    <row r="956" spans="1:6" x14ac:dyDescent="0.3">
      <c r="A956">
        <v>2023</v>
      </c>
      <c r="B956" t="s">
        <v>63</v>
      </c>
      <c r="C956" t="s">
        <v>42</v>
      </c>
      <c r="D956" s="1">
        <v>1990</v>
      </c>
      <c r="E956" s="1">
        <v>8772</v>
      </c>
      <c r="F956" s="2">
        <v>37394</v>
      </c>
    </row>
    <row r="957" spans="1:6" x14ac:dyDescent="0.3">
      <c r="A957">
        <v>2023</v>
      </c>
      <c r="B957" t="s">
        <v>63</v>
      </c>
      <c r="C957" t="s">
        <v>43</v>
      </c>
      <c r="D957" s="1">
        <v>29777</v>
      </c>
      <c r="E957" s="1">
        <v>140456</v>
      </c>
      <c r="F957" s="2">
        <v>45136</v>
      </c>
    </row>
    <row r="958" spans="1:6" x14ac:dyDescent="0.3">
      <c r="A958">
        <v>2023</v>
      </c>
      <c r="B958" t="s">
        <v>63</v>
      </c>
      <c r="C958" t="s">
        <v>44</v>
      </c>
      <c r="D958" s="1">
        <v>19915</v>
      </c>
      <c r="E958" s="1">
        <v>102632</v>
      </c>
      <c r="F958" s="2">
        <v>42585</v>
      </c>
    </row>
    <row r="959" spans="1:6" x14ac:dyDescent="0.3">
      <c r="A959">
        <v>2023</v>
      </c>
      <c r="B959" t="s">
        <v>63</v>
      </c>
      <c r="C959" t="s">
        <v>45</v>
      </c>
      <c r="D959" s="1">
        <v>5797</v>
      </c>
      <c r="E959" s="1">
        <v>20164</v>
      </c>
      <c r="F959" s="2">
        <v>32080</v>
      </c>
    </row>
    <row r="960" spans="1:6" x14ac:dyDescent="0.3">
      <c r="A960">
        <v>2023</v>
      </c>
      <c r="B960" t="s">
        <v>63</v>
      </c>
      <c r="C960" t="s">
        <v>46</v>
      </c>
      <c r="D960" s="1">
        <v>13757</v>
      </c>
      <c r="E960" s="1">
        <v>84267</v>
      </c>
      <c r="F960" s="2">
        <v>31908</v>
      </c>
    </row>
    <row r="961" spans="1:6" x14ac:dyDescent="0.3">
      <c r="A961">
        <v>2023</v>
      </c>
      <c r="B961" t="s">
        <v>63</v>
      </c>
      <c r="C961" t="s">
        <v>47</v>
      </c>
      <c r="D961" s="1">
        <v>1655</v>
      </c>
      <c r="E961" s="1">
        <v>7188</v>
      </c>
      <c r="F961" s="2">
        <v>39255</v>
      </c>
    </row>
    <row r="962" spans="1:6" x14ac:dyDescent="0.3">
      <c r="A962">
        <v>2022</v>
      </c>
      <c r="B962" t="s">
        <v>55</v>
      </c>
      <c r="C962" t="s">
        <v>0</v>
      </c>
      <c r="D962" s="1">
        <v>1843</v>
      </c>
      <c r="E962" s="1">
        <v>18397</v>
      </c>
      <c r="F962" s="2">
        <v>56388</v>
      </c>
    </row>
    <row r="963" spans="1:6" x14ac:dyDescent="0.3">
      <c r="A963">
        <v>2022</v>
      </c>
      <c r="B963" t="s">
        <v>55</v>
      </c>
      <c r="C963" t="s">
        <v>1</v>
      </c>
      <c r="D963" s="1">
        <v>1328</v>
      </c>
      <c r="E963" s="1">
        <v>38653</v>
      </c>
      <c r="F963" s="2">
        <v>50854</v>
      </c>
    </row>
    <row r="964" spans="1:6" x14ac:dyDescent="0.3">
      <c r="A964">
        <v>2022</v>
      </c>
      <c r="B964" t="s">
        <v>55</v>
      </c>
      <c r="C964" t="s">
        <v>2</v>
      </c>
      <c r="D964" s="1">
        <v>2525</v>
      </c>
      <c r="E964" s="1">
        <v>16334</v>
      </c>
      <c r="F964" s="2">
        <v>47616</v>
      </c>
    </row>
    <row r="965" spans="1:6" x14ac:dyDescent="0.3">
      <c r="A965">
        <v>2022</v>
      </c>
      <c r="B965" t="s">
        <v>55</v>
      </c>
      <c r="C965" t="s">
        <v>3</v>
      </c>
      <c r="D965" s="1">
        <v>17605</v>
      </c>
      <c r="E965" s="1">
        <v>443542</v>
      </c>
      <c r="F965" s="2">
        <v>38595</v>
      </c>
    </row>
    <row r="966" spans="1:6" x14ac:dyDescent="0.3">
      <c r="A966">
        <v>2022</v>
      </c>
      <c r="B966" t="s">
        <v>55</v>
      </c>
      <c r="C966" t="s">
        <v>4</v>
      </c>
      <c r="D966" s="1">
        <v>3256</v>
      </c>
      <c r="E966" s="1">
        <v>46357</v>
      </c>
      <c r="F966" s="2">
        <v>88489</v>
      </c>
    </row>
    <row r="967" spans="1:6" x14ac:dyDescent="0.3">
      <c r="A967">
        <v>2022</v>
      </c>
      <c r="B967" t="s">
        <v>55</v>
      </c>
      <c r="C967" t="s">
        <v>5</v>
      </c>
      <c r="D967">
        <v>441</v>
      </c>
      <c r="E967" s="1">
        <v>5272</v>
      </c>
      <c r="F967" s="2">
        <v>40054</v>
      </c>
    </row>
    <row r="968" spans="1:6" x14ac:dyDescent="0.3">
      <c r="A968">
        <v>2022</v>
      </c>
      <c r="B968" t="s">
        <v>55</v>
      </c>
      <c r="C968" t="s">
        <v>6</v>
      </c>
      <c r="D968">
        <v>177</v>
      </c>
      <c r="E968" s="1">
        <v>1535</v>
      </c>
      <c r="F968" s="2">
        <v>39987</v>
      </c>
    </row>
    <row r="969" spans="1:6" x14ac:dyDescent="0.3">
      <c r="A969">
        <v>2022</v>
      </c>
      <c r="B969" t="s">
        <v>55</v>
      </c>
      <c r="C969" t="s">
        <v>7</v>
      </c>
      <c r="D969" s="1">
        <v>5289</v>
      </c>
      <c r="E969" s="1">
        <v>72507</v>
      </c>
      <c r="F969" s="2">
        <v>34681</v>
      </c>
    </row>
    <row r="970" spans="1:6" x14ac:dyDescent="0.3">
      <c r="A970">
        <v>2022</v>
      </c>
      <c r="B970" t="s">
        <v>55</v>
      </c>
      <c r="C970" t="s">
        <v>8</v>
      </c>
      <c r="D970" s="1">
        <v>2630</v>
      </c>
      <c r="E970" s="1">
        <v>29395</v>
      </c>
      <c r="F970" s="2">
        <v>42010</v>
      </c>
    </row>
    <row r="971" spans="1:6" x14ac:dyDescent="0.3">
      <c r="A971">
        <v>2022</v>
      </c>
      <c r="B971" t="s">
        <v>55</v>
      </c>
      <c r="C971" t="s">
        <v>9</v>
      </c>
      <c r="D971" s="1">
        <v>2500</v>
      </c>
      <c r="E971" s="1">
        <v>26636</v>
      </c>
      <c r="F971" s="2">
        <v>39998</v>
      </c>
    </row>
    <row r="972" spans="1:6" x14ac:dyDescent="0.3">
      <c r="A972">
        <v>2022</v>
      </c>
      <c r="B972" t="s">
        <v>55</v>
      </c>
      <c r="C972" t="s">
        <v>10</v>
      </c>
      <c r="D972" s="1">
        <v>2785</v>
      </c>
      <c r="E972" s="1">
        <v>26452</v>
      </c>
      <c r="F972" s="2">
        <v>50101</v>
      </c>
    </row>
    <row r="973" spans="1:6" x14ac:dyDescent="0.3">
      <c r="A973">
        <v>2022</v>
      </c>
      <c r="B973" t="s">
        <v>55</v>
      </c>
      <c r="C973" t="s">
        <v>11</v>
      </c>
      <c r="D973" s="1">
        <v>2217</v>
      </c>
      <c r="E973" s="1">
        <v>21236</v>
      </c>
      <c r="F973" s="2">
        <v>48605</v>
      </c>
    </row>
    <row r="974" spans="1:6" x14ac:dyDescent="0.3">
      <c r="A974">
        <v>2022</v>
      </c>
      <c r="B974" t="s">
        <v>55</v>
      </c>
      <c r="C974" t="s">
        <v>12</v>
      </c>
      <c r="D974" s="1">
        <v>2830</v>
      </c>
      <c r="E974" s="1">
        <v>23077</v>
      </c>
      <c r="F974" s="2">
        <v>42989</v>
      </c>
    </row>
    <row r="975" spans="1:6" x14ac:dyDescent="0.3">
      <c r="A975">
        <v>2022</v>
      </c>
      <c r="B975" t="s">
        <v>55</v>
      </c>
      <c r="C975" t="s">
        <v>13</v>
      </c>
      <c r="D975" s="1">
        <v>2658</v>
      </c>
      <c r="E975" s="1">
        <v>19284</v>
      </c>
      <c r="F975" s="2">
        <v>47004</v>
      </c>
    </row>
    <row r="976" spans="1:6" x14ac:dyDescent="0.3">
      <c r="A976">
        <v>2022</v>
      </c>
      <c r="B976" t="s">
        <v>55</v>
      </c>
      <c r="C976" t="s">
        <v>14</v>
      </c>
      <c r="D976" s="1">
        <v>1559</v>
      </c>
      <c r="E976" s="1">
        <v>18569</v>
      </c>
      <c r="F976" s="2">
        <v>56223</v>
      </c>
    </row>
    <row r="977" spans="1:6" x14ac:dyDescent="0.3">
      <c r="A977">
        <v>2022</v>
      </c>
      <c r="B977" t="s">
        <v>55</v>
      </c>
      <c r="C977" t="s">
        <v>15</v>
      </c>
      <c r="D977" s="1">
        <v>3089</v>
      </c>
      <c r="E977" s="1">
        <v>43598</v>
      </c>
      <c r="F977" s="2">
        <v>84277</v>
      </c>
    </row>
    <row r="978" spans="1:6" x14ac:dyDescent="0.3">
      <c r="A978">
        <v>2022</v>
      </c>
      <c r="B978" t="s">
        <v>55</v>
      </c>
      <c r="C978" t="s">
        <v>16</v>
      </c>
      <c r="D978" s="1">
        <v>1372</v>
      </c>
      <c r="E978" s="1">
        <v>7143</v>
      </c>
      <c r="F978" s="2">
        <v>41187</v>
      </c>
    </row>
    <row r="979" spans="1:6" x14ac:dyDescent="0.3">
      <c r="A979">
        <v>2022</v>
      </c>
      <c r="B979" t="s">
        <v>55</v>
      </c>
      <c r="C979" t="s">
        <v>17</v>
      </c>
      <c r="D979">
        <v>723</v>
      </c>
      <c r="E979" s="1">
        <v>6447</v>
      </c>
      <c r="F979" s="2">
        <v>43100</v>
      </c>
    </row>
    <row r="980" spans="1:6" x14ac:dyDescent="0.3">
      <c r="A980">
        <v>2022</v>
      </c>
      <c r="B980" t="s">
        <v>55</v>
      </c>
      <c r="C980" t="s">
        <v>18</v>
      </c>
      <c r="D980">
        <v>985</v>
      </c>
      <c r="E980" s="1">
        <v>9626</v>
      </c>
      <c r="F980" s="2">
        <v>61244</v>
      </c>
    </row>
    <row r="981" spans="1:6" x14ac:dyDescent="0.3">
      <c r="A981">
        <v>2022</v>
      </c>
      <c r="B981" t="s">
        <v>55</v>
      </c>
      <c r="C981" t="s">
        <v>19</v>
      </c>
      <c r="D981" s="1">
        <v>3282</v>
      </c>
      <c r="E981" s="1">
        <v>35874</v>
      </c>
      <c r="F981" s="2">
        <v>40516</v>
      </c>
    </row>
    <row r="982" spans="1:6" x14ac:dyDescent="0.3">
      <c r="A982">
        <v>2022</v>
      </c>
      <c r="B982" t="s">
        <v>55</v>
      </c>
      <c r="C982" t="s">
        <v>20</v>
      </c>
      <c r="D982" s="1">
        <v>3071</v>
      </c>
      <c r="E982" s="1">
        <v>27642</v>
      </c>
      <c r="F982" s="2">
        <v>50521</v>
      </c>
    </row>
    <row r="983" spans="1:6" x14ac:dyDescent="0.3">
      <c r="A983">
        <v>2022</v>
      </c>
      <c r="B983" t="s">
        <v>55</v>
      </c>
      <c r="C983" t="s">
        <v>21</v>
      </c>
      <c r="D983" s="1">
        <v>2153</v>
      </c>
      <c r="E983" s="1">
        <v>16234</v>
      </c>
      <c r="F983" s="2">
        <v>47028</v>
      </c>
    </row>
    <row r="984" spans="1:6" x14ac:dyDescent="0.3">
      <c r="A984">
        <v>2022</v>
      </c>
      <c r="B984" t="s">
        <v>55</v>
      </c>
      <c r="C984" t="s">
        <v>22</v>
      </c>
      <c r="D984" s="1">
        <v>1935</v>
      </c>
      <c r="E984" s="1">
        <v>16642</v>
      </c>
      <c r="F984" s="2">
        <v>43331</v>
      </c>
    </row>
    <row r="985" spans="1:6" x14ac:dyDescent="0.3">
      <c r="A985">
        <v>2022</v>
      </c>
      <c r="B985" t="s">
        <v>55</v>
      </c>
      <c r="C985" t="s">
        <v>23</v>
      </c>
      <c r="D985" s="1">
        <v>1771</v>
      </c>
      <c r="E985" s="1">
        <v>12503</v>
      </c>
      <c r="F985" s="2">
        <v>67090</v>
      </c>
    </row>
    <row r="986" spans="1:6" x14ac:dyDescent="0.3">
      <c r="A986">
        <v>2022</v>
      </c>
      <c r="B986" t="s">
        <v>55</v>
      </c>
      <c r="C986" t="s">
        <v>24</v>
      </c>
      <c r="D986" s="1">
        <v>2378</v>
      </c>
      <c r="E986" s="1">
        <v>15823</v>
      </c>
      <c r="F986" s="2">
        <v>41084</v>
      </c>
    </row>
    <row r="987" spans="1:6" x14ac:dyDescent="0.3">
      <c r="A987">
        <v>2022</v>
      </c>
      <c r="B987" t="s">
        <v>55</v>
      </c>
      <c r="C987" t="s">
        <v>25</v>
      </c>
      <c r="D987">
        <v>641</v>
      </c>
      <c r="E987" s="1">
        <v>19336</v>
      </c>
      <c r="F987" s="2">
        <v>82872</v>
      </c>
    </row>
    <row r="988" spans="1:6" x14ac:dyDescent="0.3">
      <c r="A988">
        <v>2022</v>
      </c>
      <c r="B988" t="s">
        <v>55</v>
      </c>
      <c r="C988" t="s">
        <v>26</v>
      </c>
      <c r="D988">
        <v>344</v>
      </c>
      <c r="E988" s="1">
        <v>2619</v>
      </c>
      <c r="F988" s="2">
        <v>42081</v>
      </c>
    </row>
    <row r="989" spans="1:6" x14ac:dyDescent="0.3">
      <c r="A989">
        <v>2022</v>
      </c>
      <c r="B989" t="s">
        <v>55</v>
      </c>
      <c r="C989" t="s">
        <v>27</v>
      </c>
      <c r="D989" s="1">
        <v>1003</v>
      </c>
      <c r="E989" s="1">
        <v>12165</v>
      </c>
      <c r="F989" s="2">
        <v>39981</v>
      </c>
    </row>
    <row r="990" spans="1:6" x14ac:dyDescent="0.3">
      <c r="A990">
        <v>2022</v>
      </c>
      <c r="B990" t="s">
        <v>55</v>
      </c>
      <c r="C990" t="s">
        <v>28</v>
      </c>
      <c r="D990" s="1">
        <v>2007</v>
      </c>
      <c r="E990" s="1">
        <v>35856</v>
      </c>
      <c r="F990" s="2">
        <v>64393</v>
      </c>
    </row>
    <row r="991" spans="1:6" x14ac:dyDescent="0.3">
      <c r="A991">
        <v>2022</v>
      </c>
      <c r="B991" t="s">
        <v>55</v>
      </c>
      <c r="C991" t="s">
        <v>29</v>
      </c>
      <c r="D991" s="1">
        <v>3062</v>
      </c>
      <c r="E991" s="1">
        <v>31787</v>
      </c>
      <c r="F991" s="2">
        <v>41230</v>
      </c>
    </row>
    <row r="992" spans="1:6" x14ac:dyDescent="0.3">
      <c r="A992">
        <v>2022</v>
      </c>
      <c r="B992" t="s">
        <v>55</v>
      </c>
      <c r="C992" t="s">
        <v>30</v>
      </c>
      <c r="D992" s="1">
        <v>3330</v>
      </c>
      <c r="E992" s="1">
        <v>30208</v>
      </c>
      <c r="F992" s="2">
        <v>39062</v>
      </c>
    </row>
    <row r="993" spans="1:6" x14ac:dyDescent="0.3">
      <c r="A993">
        <v>2022</v>
      </c>
      <c r="B993" t="s">
        <v>55</v>
      </c>
      <c r="C993" t="s">
        <v>31</v>
      </c>
      <c r="D993" s="1">
        <v>1766</v>
      </c>
      <c r="E993" s="1">
        <v>25422</v>
      </c>
      <c r="F993" s="2">
        <v>95073</v>
      </c>
    </row>
    <row r="994" spans="1:6" x14ac:dyDescent="0.3">
      <c r="A994">
        <v>2022</v>
      </c>
      <c r="B994" t="s">
        <v>55</v>
      </c>
      <c r="C994" t="s">
        <v>32</v>
      </c>
      <c r="D994" s="1">
        <v>2470</v>
      </c>
      <c r="E994" s="1">
        <v>28520</v>
      </c>
      <c r="F994" s="2">
        <v>51145</v>
      </c>
    </row>
    <row r="995" spans="1:6" x14ac:dyDescent="0.3">
      <c r="A995">
        <v>2022</v>
      </c>
      <c r="B995" t="s">
        <v>55</v>
      </c>
      <c r="C995" t="s">
        <v>33</v>
      </c>
      <c r="D995" s="1">
        <v>4348</v>
      </c>
      <c r="E995" s="1">
        <v>64020</v>
      </c>
      <c r="F995" s="2">
        <v>91135</v>
      </c>
    </row>
    <row r="996" spans="1:6" x14ac:dyDescent="0.3">
      <c r="A996">
        <v>2022</v>
      </c>
      <c r="B996" t="s">
        <v>55</v>
      </c>
      <c r="C996" t="s">
        <v>34</v>
      </c>
      <c r="D996" s="1">
        <v>4560</v>
      </c>
      <c r="E996" s="1">
        <v>53530</v>
      </c>
      <c r="F996" s="2">
        <v>37495</v>
      </c>
    </row>
    <row r="997" spans="1:6" x14ac:dyDescent="0.3">
      <c r="A997">
        <v>2022</v>
      </c>
      <c r="B997" t="s">
        <v>55</v>
      </c>
      <c r="C997" t="s">
        <v>35</v>
      </c>
      <c r="D997" s="1">
        <v>3585</v>
      </c>
      <c r="E997" s="1">
        <v>52523</v>
      </c>
      <c r="F997" s="2">
        <v>62951</v>
      </c>
    </row>
    <row r="998" spans="1:6" x14ac:dyDescent="0.3">
      <c r="A998">
        <v>2022</v>
      </c>
      <c r="B998" t="s">
        <v>55</v>
      </c>
      <c r="C998" t="s">
        <v>36</v>
      </c>
      <c r="D998">
        <v>194</v>
      </c>
      <c r="E998" s="1">
        <v>1056</v>
      </c>
      <c r="F998" s="2">
        <v>39071</v>
      </c>
    </row>
    <row r="999" spans="1:6" x14ac:dyDescent="0.3">
      <c r="A999">
        <v>2022</v>
      </c>
      <c r="B999" t="s">
        <v>55</v>
      </c>
      <c r="C999" t="s">
        <v>37</v>
      </c>
      <c r="D999" s="1">
        <v>1286</v>
      </c>
      <c r="E999" s="1">
        <v>12662</v>
      </c>
      <c r="F999" s="2">
        <v>40536</v>
      </c>
    </row>
    <row r="1000" spans="1:6" x14ac:dyDescent="0.3">
      <c r="A1000">
        <v>2022</v>
      </c>
      <c r="B1000" t="s">
        <v>55</v>
      </c>
      <c r="C1000" t="s">
        <v>38</v>
      </c>
      <c r="D1000" s="1">
        <v>1047</v>
      </c>
      <c r="E1000" s="1">
        <v>6831</v>
      </c>
      <c r="F1000" s="2">
        <v>42904</v>
      </c>
    </row>
    <row r="1001" spans="1:6" x14ac:dyDescent="0.3">
      <c r="A1001">
        <v>2022</v>
      </c>
      <c r="B1001" t="s">
        <v>55</v>
      </c>
      <c r="C1001" t="s">
        <v>39</v>
      </c>
      <c r="D1001" s="1">
        <v>1099</v>
      </c>
      <c r="E1001" s="1">
        <v>11051</v>
      </c>
      <c r="F1001" s="2">
        <v>46634</v>
      </c>
    </row>
    <row r="1002" spans="1:6" x14ac:dyDescent="0.3">
      <c r="A1002">
        <v>2022</v>
      </c>
      <c r="B1002" t="s">
        <v>55</v>
      </c>
      <c r="C1002" t="s">
        <v>40</v>
      </c>
      <c r="D1002" s="1">
        <v>19761</v>
      </c>
      <c r="E1002" s="1">
        <v>304275</v>
      </c>
      <c r="F1002" s="2">
        <v>109449</v>
      </c>
    </row>
    <row r="1003" spans="1:6" x14ac:dyDescent="0.3">
      <c r="A1003">
        <v>2022</v>
      </c>
      <c r="B1003" t="s">
        <v>55</v>
      </c>
      <c r="C1003" t="s">
        <v>41</v>
      </c>
      <c r="D1003" s="1">
        <v>1002</v>
      </c>
      <c r="E1003" s="1">
        <v>15159</v>
      </c>
      <c r="F1003" s="2">
        <v>61171</v>
      </c>
    </row>
    <row r="1004" spans="1:6" x14ac:dyDescent="0.3">
      <c r="A1004">
        <v>2022</v>
      </c>
      <c r="B1004" t="s">
        <v>55</v>
      </c>
      <c r="C1004" t="s">
        <v>42</v>
      </c>
      <c r="D1004">
        <v>548</v>
      </c>
      <c r="E1004" s="1">
        <v>3930</v>
      </c>
      <c r="F1004" s="2">
        <v>38605</v>
      </c>
    </row>
    <row r="1005" spans="1:6" x14ac:dyDescent="0.3">
      <c r="A1005">
        <v>2022</v>
      </c>
      <c r="B1005" t="s">
        <v>55</v>
      </c>
      <c r="C1005" t="s">
        <v>43</v>
      </c>
      <c r="D1005" s="1">
        <v>2101</v>
      </c>
      <c r="E1005" s="1">
        <v>19281</v>
      </c>
      <c r="F1005" s="2">
        <v>47043</v>
      </c>
    </row>
    <row r="1006" spans="1:6" x14ac:dyDescent="0.3">
      <c r="A1006">
        <v>2022</v>
      </c>
      <c r="B1006" t="s">
        <v>55</v>
      </c>
      <c r="C1006" t="s">
        <v>44</v>
      </c>
      <c r="D1006" s="1">
        <v>7317</v>
      </c>
      <c r="E1006" s="1">
        <v>109210</v>
      </c>
      <c r="F1006" s="2">
        <v>33346</v>
      </c>
    </row>
    <row r="1007" spans="1:6" x14ac:dyDescent="0.3">
      <c r="A1007">
        <v>2022</v>
      </c>
      <c r="B1007" t="s">
        <v>55</v>
      </c>
      <c r="C1007" t="s">
        <v>45</v>
      </c>
      <c r="D1007" s="1">
        <v>1199</v>
      </c>
      <c r="E1007" s="1">
        <v>23481</v>
      </c>
      <c r="F1007" s="2">
        <v>80012</v>
      </c>
    </row>
    <row r="1008" spans="1:6" x14ac:dyDescent="0.3">
      <c r="A1008">
        <v>2022</v>
      </c>
      <c r="B1008" t="s">
        <v>55</v>
      </c>
      <c r="C1008" t="s">
        <v>46</v>
      </c>
      <c r="D1008" s="1">
        <v>2926</v>
      </c>
      <c r="E1008" s="1">
        <v>32257</v>
      </c>
      <c r="F1008" s="2">
        <v>39437</v>
      </c>
    </row>
    <row r="1009" spans="1:6" x14ac:dyDescent="0.3">
      <c r="A1009">
        <v>2022</v>
      </c>
      <c r="B1009" t="s">
        <v>55</v>
      </c>
      <c r="C1009" t="s">
        <v>47</v>
      </c>
      <c r="D1009" s="1">
        <v>1438</v>
      </c>
      <c r="E1009" s="1">
        <v>23488</v>
      </c>
      <c r="F1009" s="2">
        <v>83751</v>
      </c>
    </row>
    <row r="1010" spans="1:6" x14ac:dyDescent="0.3">
      <c r="A1010">
        <v>2022</v>
      </c>
      <c r="B1010" t="s">
        <v>56</v>
      </c>
      <c r="C1010" t="s">
        <v>0</v>
      </c>
      <c r="D1010" s="1">
        <v>9897</v>
      </c>
      <c r="E1010" s="1">
        <v>89207</v>
      </c>
      <c r="F1010" s="2">
        <v>53957</v>
      </c>
    </row>
    <row r="1011" spans="1:6" x14ac:dyDescent="0.3">
      <c r="A1011">
        <v>2022</v>
      </c>
      <c r="B1011" t="s">
        <v>56</v>
      </c>
      <c r="C1011" t="s">
        <v>1</v>
      </c>
      <c r="D1011" s="1">
        <v>12867</v>
      </c>
      <c r="E1011" s="1">
        <v>158251</v>
      </c>
      <c r="F1011" s="2">
        <v>55989</v>
      </c>
    </row>
    <row r="1012" spans="1:6" x14ac:dyDescent="0.3">
      <c r="A1012">
        <v>2022</v>
      </c>
      <c r="B1012" t="s">
        <v>56</v>
      </c>
      <c r="C1012" t="s">
        <v>2</v>
      </c>
      <c r="D1012" s="1">
        <v>6945</v>
      </c>
      <c r="E1012" s="1">
        <v>50848</v>
      </c>
      <c r="F1012" s="2">
        <v>47988</v>
      </c>
    </row>
    <row r="1013" spans="1:6" x14ac:dyDescent="0.3">
      <c r="A1013">
        <v>2022</v>
      </c>
      <c r="B1013" t="s">
        <v>56</v>
      </c>
      <c r="C1013" t="s">
        <v>3</v>
      </c>
      <c r="D1013" s="1">
        <v>80657</v>
      </c>
      <c r="E1013" s="1">
        <v>860278</v>
      </c>
      <c r="F1013" s="2">
        <v>70084</v>
      </c>
    </row>
    <row r="1014" spans="1:6" x14ac:dyDescent="0.3">
      <c r="A1014">
        <v>2022</v>
      </c>
      <c r="B1014" t="s">
        <v>56</v>
      </c>
      <c r="C1014" t="s">
        <v>4</v>
      </c>
      <c r="D1014" s="1">
        <v>19884</v>
      </c>
      <c r="E1014" s="1">
        <v>173096</v>
      </c>
      <c r="F1014" s="2">
        <v>62414</v>
      </c>
    </row>
    <row r="1015" spans="1:6" x14ac:dyDescent="0.3">
      <c r="A1015">
        <v>2022</v>
      </c>
      <c r="B1015" t="s">
        <v>56</v>
      </c>
      <c r="C1015" t="s">
        <v>5</v>
      </c>
      <c r="D1015" s="1">
        <v>9399</v>
      </c>
      <c r="E1015" s="1">
        <v>58769</v>
      </c>
      <c r="F1015" s="2">
        <v>69727</v>
      </c>
    </row>
    <row r="1016" spans="1:6" x14ac:dyDescent="0.3">
      <c r="A1016">
        <v>2022</v>
      </c>
      <c r="B1016" t="s">
        <v>56</v>
      </c>
      <c r="C1016" t="s">
        <v>6</v>
      </c>
      <c r="D1016" s="1">
        <v>2871</v>
      </c>
      <c r="E1016" s="1">
        <v>22192</v>
      </c>
      <c r="F1016" s="2">
        <v>59797</v>
      </c>
    </row>
    <row r="1017" spans="1:6" x14ac:dyDescent="0.3">
      <c r="A1017">
        <v>2022</v>
      </c>
      <c r="B1017" t="s">
        <v>56</v>
      </c>
      <c r="C1017" t="s">
        <v>7</v>
      </c>
      <c r="D1017" s="1">
        <v>70819</v>
      </c>
      <c r="E1017" s="1">
        <v>541083</v>
      </c>
      <c r="F1017" s="2">
        <v>51286</v>
      </c>
    </row>
    <row r="1018" spans="1:6" x14ac:dyDescent="0.3">
      <c r="A1018">
        <v>2022</v>
      </c>
      <c r="B1018" t="s">
        <v>56</v>
      </c>
      <c r="C1018" t="s">
        <v>8</v>
      </c>
      <c r="D1018" s="1">
        <v>20577</v>
      </c>
      <c r="E1018" s="1">
        <v>195221</v>
      </c>
      <c r="F1018" s="2">
        <v>61018</v>
      </c>
    </row>
    <row r="1019" spans="1:6" x14ac:dyDescent="0.3">
      <c r="A1019">
        <v>2022</v>
      </c>
      <c r="B1019" t="s">
        <v>56</v>
      </c>
      <c r="C1019" t="s">
        <v>9</v>
      </c>
      <c r="D1019" s="1">
        <v>8174</v>
      </c>
      <c r="E1019" s="1">
        <v>46827</v>
      </c>
      <c r="F1019" s="2">
        <v>44285</v>
      </c>
    </row>
    <row r="1020" spans="1:6" x14ac:dyDescent="0.3">
      <c r="A1020">
        <v>2022</v>
      </c>
      <c r="B1020" t="s">
        <v>56</v>
      </c>
      <c r="C1020" t="s">
        <v>10</v>
      </c>
      <c r="D1020" s="1">
        <v>32305</v>
      </c>
      <c r="E1020" s="1">
        <v>225991</v>
      </c>
      <c r="F1020" s="2">
        <v>71957</v>
      </c>
    </row>
    <row r="1021" spans="1:6" x14ac:dyDescent="0.3">
      <c r="A1021">
        <v>2022</v>
      </c>
      <c r="B1021" t="s">
        <v>56</v>
      </c>
      <c r="C1021" t="s">
        <v>11</v>
      </c>
      <c r="D1021" s="1">
        <v>15176</v>
      </c>
      <c r="E1021" s="1">
        <v>141028</v>
      </c>
      <c r="F1021" s="2">
        <v>58404</v>
      </c>
    </row>
    <row r="1022" spans="1:6" x14ac:dyDescent="0.3">
      <c r="A1022">
        <v>2022</v>
      </c>
      <c r="B1022" t="s">
        <v>56</v>
      </c>
      <c r="C1022" t="s">
        <v>12</v>
      </c>
      <c r="D1022" s="1">
        <v>9447</v>
      </c>
      <c r="E1022" s="1">
        <v>77230</v>
      </c>
      <c r="F1022" s="2">
        <v>57435</v>
      </c>
    </row>
    <row r="1023" spans="1:6" x14ac:dyDescent="0.3">
      <c r="A1023">
        <v>2022</v>
      </c>
      <c r="B1023" t="s">
        <v>56</v>
      </c>
      <c r="C1023" t="s">
        <v>13</v>
      </c>
      <c r="D1023" s="1">
        <v>7555</v>
      </c>
      <c r="E1023" s="1">
        <v>61206</v>
      </c>
      <c r="F1023" s="2">
        <v>54735</v>
      </c>
    </row>
    <row r="1024" spans="1:6" x14ac:dyDescent="0.3">
      <c r="A1024">
        <v>2022</v>
      </c>
      <c r="B1024" t="s">
        <v>56</v>
      </c>
      <c r="C1024" t="s">
        <v>14</v>
      </c>
      <c r="D1024" s="1">
        <v>9466</v>
      </c>
      <c r="E1024" s="1">
        <v>77934</v>
      </c>
      <c r="F1024" s="2">
        <v>53957</v>
      </c>
    </row>
    <row r="1025" spans="1:6" x14ac:dyDescent="0.3">
      <c r="A1025">
        <v>2022</v>
      </c>
      <c r="B1025" t="s">
        <v>56</v>
      </c>
      <c r="C1025" t="s">
        <v>15</v>
      </c>
      <c r="D1025" s="1">
        <v>10844</v>
      </c>
      <c r="E1025" s="1">
        <v>151993</v>
      </c>
      <c r="F1025" s="2">
        <v>63892</v>
      </c>
    </row>
    <row r="1026" spans="1:6" x14ac:dyDescent="0.3">
      <c r="A1026">
        <v>2022</v>
      </c>
      <c r="B1026" t="s">
        <v>56</v>
      </c>
      <c r="C1026" t="s">
        <v>16</v>
      </c>
      <c r="D1026" s="1">
        <v>5475</v>
      </c>
      <c r="E1026" s="1">
        <v>29285</v>
      </c>
      <c r="F1026" s="2">
        <v>49575</v>
      </c>
    </row>
    <row r="1027" spans="1:6" x14ac:dyDescent="0.3">
      <c r="A1027">
        <v>2022</v>
      </c>
      <c r="B1027" t="s">
        <v>56</v>
      </c>
      <c r="C1027" t="s">
        <v>17</v>
      </c>
      <c r="D1027" s="1">
        <v>16487</v>
      </c>
      <c r="E1027" s="1">
        <v>163210</v>
      </c>
      <c r="F1027" s="2">
        <v>65971</v>
      </c>
    </row>
    <row r="1028" spans="1:6" x14ac:dyDescent="0.3">
      <c r="A1028">
        <v>2022</v>
      </c>
      <c r="B1028" t="s">
        <v>56</v>
      </c>
      <c r="C1028" t="s">
        <v>18</v>
      </c>
      <c r="D1028" s="1">
        <v>21120</v>
      </c>
      <c r="E1028" s="1">
        <v>158656</v>
      </c>
      <c r="F1028" s="2">
        <v>78802</v>
      </c>
    </row>
    <row r="1029" spans="1:6" x14ac:dyDescent="0.3">
      <c r="A1029">
        <v>2022</v>
      </c>
      <c r="B1029" t="s">
        <v>56</v>
      </c>
      <c r="C1029" t="s">
        <v>19</v>
      </c>
      <c r="D1029" s="1">
        <v>19952</v>
      </c>
      <c r="E1029" s="1">
        <v>168632</v>
      </c>
      <c r="F1029" s="2">
        <v>62378</v>
      </c>
    </row>
    <row r="1030" spans="1:6" x14ac:dyDescent="0.3">
      <c r="A1030">
        <v>2022</v>
      </c>
      <c r="B1030" t="s">
        <v>56</v>
      </c>
      <c r="C1030" t="s">
        <v>20</v>
      </c>
      <c r="D1030" s="1">
        <v>16480</v>
      </c>
      <c r="E1030" s="1">
        <v>121665</v>
      </c>
      <c r="F1030" s="2">
        <v>67248</v>
      </c>
    </row>
    <row r="1031" spans="1:6" x14ac:dyDescent="0.3">
      <c r="A1031">
        <v>2022</v>
      </c>
      <c r="B1031" t="s">
        <v>56</v>
      </c>
      <c r="C1031" t="s">
        <v>21</v>
      </c>
      <c r="D1031" s="1">
        <v>5760</v>
      </c>
      <c r="E1031" s="1">
        <v>43911</v>
      </c>
      <c r="F1031" s="2">
        <v>50325</v>
      </c>
    </row>
    <row r="1032" spans="1:6" x14ac:dyDescent="0.3">
      <c r="A1032">
        <v>2022</v>
      </c>
      <c r="B1032" t="s">
        <v>56</v>
      </c>
      <c r="C1032" t="s">
        <v>22</v>
      </c>
      <c r="D1032" s="1">
        <v>14591</v>
      </c>
      <c r="E1032" s="1">
        <v>122662</v>
      </c>
      <c r="F1032" s="2">
        <v>59442</v>
      </c>
    </row>
    <row r="1033" spans="1:6" x14ac:dyDescent="0.3">
      <c r="A1033">
        <v>2022</v>
      </c>
      <c r="B1033" t="s">
        <v>56</v>
      </c>
      <c r="C1033" t="s">
        <v>23</v>
      </c>
      <c r="D1033" s="1">
        <v>6514</v>
      </c>
      <c r="E1033" s="1">
        <v>29077</v>
      </c>
      <c r="F1033" s="2">
        <v>52969</v>
      </c>
    </row>
    <row r="1034" spans="1:6" x14ac:dyDescent="0.3">
      <c r="A1034">
        <v>2022</v>
      </c>
      <c r="B1034" t="s">
        <v>56</v>
      </c>
      <c r="C1034" t="s">
        <v>24</v>
      </c>
      <c r="D1034" s="1">
        <v>7068</v>
      </c>
      <c r="E1034" s="1">
        <v>52320</v>
      </c>
      <c r="F1034" s="2">
        <v>51657</v>
      </c>
    </row>
    <row r="1035" spans="1:6" x14ac:dyDescent="0.3">
      <c r="A1035">
        <v>2022</v>
      </c>
      <c r="B1035" t="s">
        <v>56</v>
      </c>
      <c r="C1035" t="s">
        <v>25</v>
      </c>
      <c r="D1035" s="1">
        <v>5898</v>
      </c>
      <c r="E1035" s="1">
        <v>89125</v>
      </c>
      <c r="F1035" s="2">
        <v>61123</v>
      </c>
    </row>
    <row r="1036" spans="1:6" x14ac:dyDescent="0.3">
      <c r="A1036">
        <v>2022</v>
      </c>
      <c r="B1036" t="s">
        <v>56</v>
      </c>
      <c r="C1036" t="s">
        <v>26</v>
      </c>
      <c r="D1036" s="1">
        <v>4498</v>
      </c>
      <c r="E1036" s="1">
        <v>26890</v>
      </c>
      <c r="F1036" s="2">
        <v>62661</v>
      </c>
    </row>
    <row r="1037" spans="1:6" x14ac:dyDescent="0.3">
      <c r="A1037">
        <v>2022</v>
      </c>
      <c r="B1037" t="s">
        <v>56</v>
      </c>
      <c r="C1037" t="s">
        <v>27</v>
      </c>
      <c r="D1037" s="1">
        <v>22416</v>
      </c>
      <c r="E1037" s="1">
        <v>157147</v>
      </c>
      <c r="F1037" s="2">
        <v>72658</v>
      </c>
    </row>
    <row r="1038" spans="1:6" x14ac:dyDescent="0.3">
      <c r="A1038">
        <v>2022</v>
      </c>
      <c r="B1038" t="s">
        <v>56</v>
      </c>
      <c r="C1038" t="s">
        <v>28</v>
      </c>
      <c r="D1038" s="1">
        <v>5337</v>
      </c>
      <c r="E1038" s="1">
        <v>47224</v>
      </c>
      <c r="F1038" s="2">
        <v>49350</v>
      </c>
    </row>
    <row r="1039" spans="1:6" x14ac:dyDescent="0.3">
      <c r="A1039">
        <v>2022</v>
      </c>
      <c r="B1039" t="s">
        <v>56</v>
      </c>
      <c r="C1039" t="s">
        <v>29</v>
      </c>
      <c r="D1039" s="1">
        <v>50281</v>
      </c>
      <c r="E1039" s="1">
        <v>399629</v>
      </c>
      <c r="F1039" s="2">
        <v>73248</v>
      </c>
    </row>
    <row r="1040" spans="1:6" x14ac:dyDescent="0.3">
      <c r="A1040">
        <v>2022</v>
      </c>
      <c r="B1040" t="s">
        <v>56</v>
      </c>
      <c r="C1040" t="s">
        <v>30</v>
      </c>
      <c r="D1040" s="1">
        <v>26741</v>
      </c>
      <c r="E1040" s="1">
        <v>220692</v>
      </c>
      <c r="F1040" s="2">
        <v>54587</v>
      </c>
    </row>
    <row r="1041" spans="1:6" x14ac:dyDescent="0.3">
      <c r="A1041">
        <v>2022</v>
      </c>
      <c r="B1041" t="s">
        <v>56</v>
      </c>
      <c r="C1041" t="s">
        <v>31</v>
      </c>
      <c r="D1041" s="1">
        <v>3798</v>
      </c>
      <c r="E1041" s="1">
        <v>26002</v>
      </c>
      <c r="F1041" s="2">
        <v>64586</v>
      </c>
    </row>
    <row r="1042" spans="1:6" x14ac:dyDescent="0.3">
      <c r="A1042">
        <v>2022</v>
      </c>
      <c r="B1042" t="s">
        <v>56</v>
      </c>
      <c r="C1042" t="s">
        <v>32</v>
      </c>
      <c r="D1042" s="1">
        <v>23076</v>
      </c>
      <c r="E1042" s="1">
        <v>220709</v>
      </c>
      <c r="F1042" s="2">
        <v>61194</v>
      </c>
    </row>
    <row r="1043" spans="1:6" x14ac:dyDescent="0.3">
      <c r="A1043">
        <v>2022</v>
      </c>
      <c r="B1043" t="s">
        <v>56</v>
      </c>
      <c r="C1043" t="s">
        <v>33</v>
      </c>
      <c r="D1043" s="1">
        <v>9765</v>
      </c>
      <c r="E1043" s="1">
        <v>80295</v>
      </c>
      <c r="F1043" s="2">
        <v>52777</v>
      </c>
    </row>
    <row r="1044" spans="1:6" x14ac:dyDescent="0.3">
      <c r="A1044">
        <v>2022</v>
      </c>
      <c r="B1044" t="s">
        <v>56</v>
      </c>
      <c r="C1044" t="s">
        <v>34</v>
      </c>
      <c r="D1044" s="1">
        <v>14244</v>
      </c>
      <c r="E1044" s="1">
        <v>104561</v>
      </c>
      <c r="F1044" s="2">
        <v>60523</v>
      </c>
    </row>
    <row r="1045" spans="1:6" x14ac:dyDescent="0.3">
      <c r="A1045">
        <v>2022</v>
      </c>
      <c r="B1045" t="s">
        <v>56</v>
      </c>
      <c r="C1045" t="s">
        <v>35</v>
      </c>
      <c r="D1045" s="1">
        <v>28749</v>
      </c>
      <c r="E1045" s="1">
        <v>255910</v>
      </c>
      <c r="F1045" s="2">
        <v>66852</v>
      </c>
    </row>
    <row r="1046" spans="1:6" x14ac:dyDescent="0.3">
      <c r="A1046">
        <v>2022</v>
      </c>
      <c r="B1046" t="s">
        <v>56</v>
      </c>
      <c r="C1046" t="s">
        <v>36</v>
      </c>
      <c r="D1046" s="1">
        <v>3743</v>
      </c>
      <c r="E1046" s="1">
        <v>19229</v>
      </c>
      <c r="F1046" s="2">
        <v>61579</v>
      </c>
    </row>
    <row r="1047" spans="1:6" x14ac:dyDescent="0.3">
      <c r="A1047">
        <v>2022</v>
      </c>
      <c r="B1047" t="s">
        <v>56</v>
      </c>
      <c r="C1047" t="s">
        <v>37</v>
      </c>
      <c r="D1047" s="1">
        <v>12124</v>
      </c>
      <c r="E1047" s="1">
        <v>104324</v>
      </c>
      <c r="F1047" s="2">
        <v>52634</v>
      </c>
    </row>
    <row r="1048" spans="1:6" x14ac:dyDescent="0.3">
      <c r="A1048">
        <v>2022</v>
      </c>
      <c r="B1048" t="s">
        <v>56</v>
      </c>
      <c r="C1048" t="s">
        <v>38</v>
      </c>
      <c r="D1048" s="1">
        <v>3884</v>
      </c>
      <c r="E1048" s="1">
        <v>22971</v>
      </c>
      <c r="F1048" s="2">
        <v>48981</v>
      </c>
    </row>
    <row r="1049" spans="1:6" x14ac:dyDescent="0.3">
      <c r="A1049">
        <v>2022</v>
      </c>
      <c r="B1049" t="s">
        <v>56</v>
      </c>
      <c r="C1049" t="s">
        <v>39</v>
      </c>
      <c r="D1049" s="1">
        <v>12110</v>
      </c>
      <c r="E1049" s="1">
        <v>124488</v>
      </c>
      <c r="F1049" s="2">
        <v>57033</v>
      </c>
    </row>
    <row r="1050" spans="1:6" x14ac:dyDescent="0.3">
      <c r="A1050">
        <v>2022</v>
      </c>
      <c r="B1050" t="s">
        <v>56</v>
      </c>
      <c r="C1050" t="s">
        <v>40</v>
      </c>
      <c r="D1050" s="1">
        <v>51405</v>
      </c>
      <c r="E1050" s="1">
        <v>739156</v>
      </c>
      <c r="F1050" s="2">
        <v>65554</v>
      </c>
    </row>
    <row r="1051" spans="1:6" x14ac:dyDescent="0.3">
      <c r="A1051">
        <v>2022</v>
      </c>
      <c r="B1051" t="s">
        <v>56</v>
      </c>
      <c r="C1051" t="s">
        <v>41</v>
      </c>
      <c r="D1051" s="1">
        <v>11572</v>
      </c>
      <c r="E1051" s="1">
        <v>104339</v>
      </c>
      <c r="F1051" s="2">
        <v>51052</v>
      </c>
    </row>
    <row r="1052" spans="1:6" x14ac:dyDescent="0.3">
      <c r="A1052">
        <v>2022</v>
      </c>
      <c r="B1052" t="s">
        <v>56</v>
      </c>
      <c r="C1052" t="s">
        <v>42</v>
      </c>
      <c r="D1052" s="1">
        <v>2878</v>
      </c>
      <c r="E1052" s="1">
        <v>15262</v>
      </c>
      <c r="F1052" s="2">
        <v>51025</v>
      </c>
    </row>
    <row r="1053" spans="1:6" x14ac:dyDescent="0.3">
      <c r="A1053">
        <v>2022</v>
      </c>
      <c r="B1053" t="s">
        <v>56</v>
      </c>
      <c r="C1053" t="s">
        <v>43</v>
      </c>
      <c r="D1053" s="1">
        <v>21508</v>
      </c>
      <c r="E1053" s="1">
        <v>197292</v>
      </c>
      <c r="F1053" s="2">
        <v>58050</v>
      </c>
    </row>
    <row r="1054" spans="1:6" x14ac:dyDescent="0.3">
      <c r="A1054">
        <v>2022</v>
      </c>
      <c r="B1054" t="s">
        <v>56</v>
      </c>
      <c r="C1054" t="s">
        <v>44</v>
      </c>
      <c r="D1054" s="1">
        <v>26015</v>
      </c>
      <c r="E1054" s="1">
        <v>199867</v>
      </c>
      <c r="F1054" s="2">
        <v>64432</v>
      </c>
    </row>
    <row r="1055" spans="1:6" x14ac:dyDescent="0.3">
      <c r="A1055">
        <v>2022</v>
      </c>
      <c r="B1055" t="s">
        <v>56</v>
      </c>
      <c r="C1055" t="s">
        <v>45</v>
      </c>
      <c r="D1055" s="1">
        <v>4435</v>
      </c>
      <c r="E1055" s="1">
        <v>40126</v>
      </c>
      <c r="F1055" s="2">
        <v>72255</v>
      </c>
    </row>
    <row r="1056" spans="1:6" x14ac:dyDescent="0.3">
      <c r="A1056">
        <v>2022</v>
      </c>
      <c r="B1056" t="s">
        <v>56</v>
      </c>
      <c r="C1056" t="s">
        <v>46</v>
      </c>
      <c r="D1056" s="1">
        <v>14814</v>
      </c>
      <c r="E1056" s="1">
        <v>122396</v>
      </c>
      <c r="F1056" s="2">
        <v>62063</v>
      </c>
    </row>
    <row r="1057" spans="1:6" x14ac:dyDescent="0.3">
      <c r="A1057">
        <v>2022</v>
      </c>
      <c r="B1057" t="s">
        <v>56</v>
      </c>
      <c r="C1057" t="s">
        <v>47</v>
      </c>
      <c r="D1057" s="1">
        <v>3375</v>
      </c>
      <c r="E1057" s="1">
        <v>20253</v>
      </c>
      <c r="F1057" s="2">
        <v>53554</v>
      </c>
    </row>
    <row r="1058" spans="1:6" x14ac:dyDescent="0.3">
      <c r="A1058">
        <v>2022</v>
      </c>
      <c r="B1058" t="s">
        <v>57</v>
      </c>
      <c r="C1058" t="s">
        <v>0</v>
      </c>
      <c r="D1058" s="1">
        <v>5566</v>
      </c>
      <c r="E1058" s="1">
        <v>266798</v>
      </c>
      <c r="F1058" s="2">
        <v>57068</v>
      </c>
    </row>
    <row r="1059" spans="1:6" x14ac:dyDescent="0.3">
      <c r="A1059">
        <v>2022</v>
      </c>
      <c r="B1059" t="s">
        <v>57</v>
      </c>
      <c r="C1059" t="s">
        <v>1</v>
      </c>
      <c r="D1059" s="1">
        <v>4926</v>
      </c>
      <c r="E1059" s="1">
        <v>169675</v>
      </c>
      <c r="F1059" s="2">
        <v>76139</v>
      </c>
    </row>
    <row r="1060" spans="1:6" x14ac:dyDescent="0.3">
      <c r="A1060">
        <v>2022</v>
      </c>
      <c r="B1060" t="s">
        <v>57</v>
      </c>
      <c r="C1060" t="s">
        <v>2</v>
      </c>
      <c r="D1060" s="1">
        <v>2918</v>
      </c>
      <c r="E1060" s="1">
        <v>160597</v>
      </c>
      <c r="F1060" s="2">
        <v>47984</v>
      </c>
    </row>
    <row r="1061" spans="1:6" x14ac:dyDescent="0.3">
      <c r="A1061">
        <v>2022</v>
      </c>
      <c r="B1061" t="s">
        <v>57</v>
      </c>
      <c r="C1061" t="s">
        <v>3</v>
      </c>
      <c r="D1061" s="1">
        <v>44706</v>
      </c>
      <c r="E1061" s="1">
        <v>1320068</v>
      </c>
      <c r="F1061" s="2">
        <v>95627</v>
      </c>
    </row>
    <row r="1062" spans="1:6" x14ac:dyDescent="0.3">
      <c r="A1062">
        <v>2022</v>
      </c>
      <c r="B1062" t="s">
        <v>57</v>
      </c>
      <c r="C1062" t="s">
        <v>4</v>
      </c>
      <c r="D1062" s="1">
        <v>5804</v>
      </c>
      <c r="E1062" s="1">
        <v>147285</v>
      </c>
      <c r="F1062" s="2">
        <v>70677</v>
      </c>
    </row>
    <row r="1063" spans="1:6" x14ac:dyDescent="0.3">
      <c r="A1063">
        <v>2022</v>
      </c>
      <c r="B1063" t="s">
        <v>57</v>
      </c>
      <c r="C1063" t="s">
        <v>5</v>
      </c>
      <c r="D1063" s="1">
        <v>4408</v>
      </c>
      <c r="E1063" s="1">
        <v>160500</v>
      </c>
      <c r="F1063" s="2">
        <v>82569</v>
      </c>
    </row>
    <row r="1064" spans="1:6" x14ac:dyDescent="0.3">
      <c r="A1064">
        <v>2022</v>
      </c>
      <c r="B1064" t="s">
        <v>57</v>
      </c>
      <c r="C1064" t="s">
        <v>6</v>
      </c>
      <c r="D1064">
        <v>661</v>
      </c>
      <c r="E1064" s="1">
        <v>27077</v>
      </c>
      <c r="F1064" s="2">
        <v>64153</v>
      </c>
    </row>
    <row r="1065" spans="1:6" x14ac:dyDescent="0.3">
      <c r="A1065">
        <v>2022</v>
      </c>
      <c r="B1065" t="s">
        <v>57</v>
      </c>
      <c r="C1065" t="s">
        <v>7</v>
      </c>
      <c r="D1065" s="1">
        <v>20548</v>
      </c>
      <c r="E1065" s="1">
        <v>371590</v>
      </c>
      <c r="F1065" s="2">
        <v>61740</v>
      </c>
    </row>
    <row r="1066" spans="1:6" x14ac:dyDescent="0.3">
      <c r="A1066">
        <v>2022</v>
      </c>
      <c r="B1066" t="s">
        <v>57</v>
      </c>
      <c r="C1066" t="s">
        <v>8</v>
      </c>
      <c r="D1066" s="1">
        <v>9884</v>
      </c>
      <c r="E1066" s="1">
        <v>406818</v>
      </c>
      <c r="F1066" s="2">
        <v>59168</v>
      </c>
    </row>
    <row r="1067" spans="1:6" x14ac:dyDescent="0.3">
      <c r="A1067">
        <v>2022</v>
      </c>
      <c r="B1067" t="s">
        <v>57</v>
      </c>
      <c r="C1067" t="s">
        <v>9</v>
      </c>
      <c r="D1067" s="1">
        <v>2807</v>
      </c>
      <c r="E1067" s="1">
        <v>67792</v>
      </c>
      <c r="F1067" s="2">
        <v>63932</v>
      </c>
    </row>
    <row r="1068" spans="1:6" x14ac:dyDescent="0.3">
      <c r="A1068">
        <v>2022</v>
      </c>
      <c r="B1068" t="s">
        <v>57</v>
      </c>
      <c r="C1068" t="s">
        <v>10</v>
      </c>
      <c r="D1068" s="1">
        <v>17883</v>
      </c>
      <c r="E1068" s="1">
        <v>586130</v>
      </c>
      <c r="F1068" s="2">
        <v>71895</v>
      </c>
    </row>
    <row r="1069" spans="1:6" x14ac:dyDescent="0.3">
      <c r="A1069">
        <v>2022</v>
      </c>
      <c r="B1069" t="s">
        <v>57</v>
      </c>
      <c r="C1069" t="s">
        <v>11</v>
      </c>
      <c r="D1069" s="1">
        <v>8825</v>
      </c>
      <c r="E1069" s="1">
        <v>541836</v>
      </c>
      <c r="F1069" s="2">
        <v>62680</v>
      </c>
    </row>
    <row r="1070" spans="1:6" x14ac:dyDescent="0.3">
      <c r="A1070">
        <v>2022</v>
      </c>
      <c r="B1070" t="s">
        <v>57</v>
      </c>
      <c r="C1070" t="s">
        <v>12</v>
      </c>
      <c r="D1070" s="1">
        <v>4142</v>
      </c>
      <c r="E1070" s="1">
        <v>222586</v>
      </c>
      <c r="F1070" s="2">
        <v>60257</v>
      </c>
    </row>
    <row r="1071" spans="1:6" x14ac:dyDescent="0.3">
      <c r="A1071">
        <v>2022</v>
      </c>
      <c r="B1071" t="s">
        <v>57</v>
      </c>
      <c r="C1071" t="s">
        <v>13</v>
      </c>
      <c r="D1071" s="1">
        <v>3143</v>
      </c>
      <c r="E1071" s="1">
        <v>165056</v>
      </c>
      <c r="F1071" s="2">
        <v>59206</v>
      </c>
    </row>
    <row r="1072" spans="1:6" x14ac:dyDescent="0.3">
      <c r="A1072">
        <v>2022</v>
      </c>
      <c r="B1072" t="s">
        <v>57</v>
      </c>
      <c r="C1072" t="s">
        <v>14</v>
      </c>
      <c r="D1072" s="1">
        <v>4443</v>
      </c>
      <c r="E1072" s="1">
        <v>251454</v>
      </c>
      <c r="F1072" s="2">
        <v>59208</v>
      </c>
    </row>
    <row r="1073" spans="1:6" x14ac:dyDescent="0.3">
      <c r="A1073">
        <v>2022</v>
      </c>
      <c r="B1073" t="s">
        <v>57</v>
      </c>
      <c r="C1073" t="s">
        <v>15</v>
      </c>
      <c r="D1073" s="1">
        <v>4428</v>
      </c>
      <c r="E1073" s="1">
        <v>135510</v>
      </c>
      <c r="F1073" s="2">
        <v>75881</v>
      </c>
    </row>
    <row r="1074" spans="1:6" x14ac:dyDescent="0.3">
      <c r="A1074">
        <v>2022</v>
      </c>
      <c r="B1074" t="s">
        <v>57</v>
      </c>
      <c r="C1074" t="s">
        <v>16</v>
      </c>
      <c r="D1074" s="1">
        <v>1856</v>
      </c>
      <c r="E1074" s="1">
        <v>51836</v>
      </c>
      <c r="F1074" s="2">
        <v>55894</v>
      </c>
    </row>
    <row r="1075" spans="1:6" x14ac:dyDescent="0.3">
      <c r="A1075">
        <v>2022</v>
      </c>
      <c r="B1075" t="s">
        <v>57</v>
      </c>
      <c r="C1075" t="s">
        <v>17</v>
      </c>
      <c r="D1075" s="1">
        <v>4035</v>
      </c>
      <c r="E1075" s="1">
        <v>109683</v>
      </c>
      <c r="F1075" s="2">
        <v>78350</v>
      </c>
    </row>
    <row r="1076" spans="1:6" x14ac:dyDescent="0.3">
      <c r="A1076">
        <v>2022</v>
      </c>
      <c r="B1076" t="s">
        <v>57</v>
      </c>
      <c r="C1076" t="s">
        <v>18</v>
      </c>
      <c r="D1076" s="1">
        <v>6711</v>
      </c>
      <c r="E1076" s="1">
        <v>245091</v>
      </c>
      <c r="F1076" s="2">
        <v>88576</v>
      </c>
    </row>
    <row r="1077" spans="1:6" x14ac:dyDescent="0.3">
      <c r="A1077">
        <v>2022</v>
      </c>
      <c r="B1077" t="s">
        <v>57</v>
      </c>
      <c r="C1077" t="s">
        <v>19</v>
      </c>
      <c r="D1077" s="1">
        <v>16070</v>
      </c>
      <c r="E1077" s="1">
        <v>627751</v>
      </c>
      <c r="F1077" s="2">
        <v>67537</v>
      </c>
    </row>
    <row r="1078" spans="1:6" x14ac:dyDescent="0.3">
      <c r="A1078">
        <v>2022</v>
      </c>
      <c r="B1078" t="s">
        <v>57</v>
      </c>
      <c r="C1078" t="s">
        <v>20</v>
      </c>
      <c r="D1078" s="1">
        <v>8487</v>
      </c>
      <c r="E1078" s="1">
        <v>321908</v>
      </c>
      <c r="F1078" s="2">
        <v>67096</v>
      </c>
    </row>
    <row r="1079" spans="1:6" x14ac:dyDescent="0.3">
      <c r="A1079">
        <v>2022</v>
      </c>
      <c r="B1079" t="s">
        <v>57</v>
      </c>
      <c r="C1079" t="s">
        <v>21</v>
      </c>
      <c r="D1079" s="1">
        <v>2421</v>
      </c>
      <c r="E1079" s="1">
        <v>144816</v>
      </c>
      <c r="F1079" s="2">
        <v>49254</v>
      </c>
    </row>
    <row r="1080" spans="1:6" x14ac:dyDescent="0.3">
      <c r="A1080">
        <v>2022</v>
      </c>
      <c r="B1080" t="s">
        <v>57</v>
      </c>
      <c r="C1080" t="s">
        <v>22</v>
      </c>
      <c r="D1080" s="1">
        <v>6476</v>
      </c>
      <c r="E1080" s="1">
        <v>273163</v>
      </c>
      <c r="F1080" s="2">
        <v>58359</v>
      </c>
    </row>
    <row r="1081" spans="1:6" x14ac:dyDescent="0.3">
      <c r="A1081">
        <v>2022</v>
      </c>
      <c r="B1081" t="s">
        <v>57</v>
      </c>
      <c r="C1081" t="s">
        <v>23</v>
      </c>
      <c r="D1081" s="1">
        <v>1634</v>
      </c>
      <c r="E1081" s="1">
        <v>20560</v>
      </c>
      <c r="F1081" s="2">
        <v>50194</v>
      </c>
    </row>
    <row r="1082" spans="1:6" x14ac:dyDescent="0.3">
      <c r="A1082">
        <v>2022</v>
      </c>
      <c r="B1082" t="s">
        <v>57</v>
      </c>
      <c r="C1082" t="s">
        <v>24</v>
      </c>
      <c r="D1082" s="1">
        <v>1988</v>
      </c>
      <c r="E1082" s="1">
        <v>99807</v>
      </c>
      <c r="F1082" s="2">
        <v>51566</v>
      </c>
    </row>
    <row r="1083" spans="1:6" x14ac:dyDescent="0.3">
      <c r="A1083">
        <v>2022</v>
      </c>
      <c r="B1083" t="s">
        <v>57</v>
      </c>
      <c r="C1083" t="s">
        <v>25</v>
      </c>
      <c r="D1083" s="1">
        <v>2066</v>
      </c>
      <c r="E1083" s="1">
        <v>55405</v>
      </c>
      <c r="F1083" s="2">
        <v>58543</v>
      </c>
    </row>
    <row r="1084" spans="1:6" x14ac:dyDescent="0.3">
      <c r="A1084">
        <v>2022</v>
      </c>
      <c r="B1084" t="s">
        <v>57</v>
      </c>
      <c r="C1084" t="s">
        <v>26</v>
      </c>
      <c r="D1084" s="1">
        <v>2032</v>
      </c>
      <c r="E1084" s="1">
        <v>70582</v>
      </c>
      <c r="F1084" s="2">
        <v>71722</v>
      </c>
    </row>
    <row r="1085" spans="1:6" x14ac:dyDescent="0.3">
      <c r="A1085">
        <v>2022</v>
      </c>
      <c r="B1085" t="s">
        <v>57</v>
      </c>
      <c r="C1085" t="s">
        <v>27</v>
      </c>
      <c r="D1085" s="1">
        <v>8976</v>
      </c>
      <c r="E1085" s="1">
        <v>245593</v>
      </c>
      <c r="F1085" s="2">
        <v>80088</v>
      </c>
    </row>
    <row r="1086" spans="1:6" x14ac:dyDescent="0.3">
      <c r="A1086">
        <v>2022</v>
      </c>
      <c r="B1086" t="s">
        <v>57</v>
      </c>
      <c r="C1086" t="s">
        <v>28</v>
      </c>
      <c r="D1086" s="1">
        <v>1768</v>
      </c>
      <c r="E1086" s="1">
        <v>27145</v>
      </c>
      <c r="F1086" s="2">
        <v>53139</v>
      </c>
    </row>
    <row r="1087" spans="1:6" x14ac:dyDescent="0.3">
      <c r="A1087">
        <v>2022</v>
      </c>
      <c r="B1087" t="s">
        <v>57</v>
      </c>
      <c r="C1087" t="s">
        <v>29</v>
      </c>
      <c r="D1087" s="1">
        <v>16910</v>
      </c>
      <c r="E1087" s="1">
        <v>441590</v>
      </c>
      <c r="F1087" s="2">
        <v>67614</v>
      </c>
    </row>
    <row r="1088" spans="1:6" x14ac:dyDescent="0.3">
      <c r="A1088">
        <v>2022</v>
      </c>
      <c r="B1088" t="s">
        <v>57</v>
      </c>
      <c r="C1088" t="s">
        <v>30</v>
      </c>
      <c r="D1088" s="1">
        <v>10219</v>
      </c>
      <c r="E1088" s="1">
        <v>474932</v>
      </c>
      <c r="F1088" s="2">
        <v>59827</v>
      </c>
    </row>
    <row r="1089" spans="1:6" x14ac:dyDescent="0.3">
      <c r="A1089">
        <v>2022</v>
      </c>
      <c r="B1089" t="s">
        <v>57</v>
      </c>
      <c r="C1089" t="s">
        <v>31</v>
      </c>
      <c r="D1089">
        <v>807</v>
      </c>
      <c r="E1089" s="1">
        <v>25906</v>
      </c>
      <c r="F1089" s="2">
        <v>53882</v>
      </c>
    </row>
    <row r="1090" spans="1:6" x14ac:dyDescent="0.3">
      <c r="A1090">
        <v>2022</v>
      </c>
      <c r="B1090" t="s">
        <v>57</v>
      </c>
      <c r="C1090" t="s">
        <v>32</v>
      </c>
      <c r="D1090" s="1">
        <v>15409</v>
      </c>
      <c r="E1090" s="1">
        <v>698950</v>
      </c>
      <c r="F1090" s="2">
        <v>61487</v>
      </c>
    </row>
    <row r="1091" spans="1:6" x14ac:dyDescent="0.3">
      <c r="A1091">
        <v>2022</v>
      </c>
      <c r="B1091" t="s">
        <v>57</v>
      </c>
      <c r="C1091" t="s">
        <v>33</v>
      </c>
      <c r="D1091" s="1">
        <v>4164</v>
      </c>
      <c r="E1091" s="1">
        <v>137739</v>
      </c>
      <c r="F1091" s="2">
        <v>58770</v>
      </c>
    </row>
    <row r="1092" spans="1:6" x14ac:dyDescent="0.3">
      <c r="A1092">
        <v>2022</v>
      </c>
      <c r="B1092" t="s">
        <v>57</v>
      </c>
      <c r="C1092" t="s">
        <v>34</v>
      </c>
      <c r="D1092" s="1">
        <v>6240</v>
      </c>
      <c r="E1092" s="1">
        <v>194693</v>
      </c>
      <c r="F1092" s="2">
        <v>70641</v>
      </c>
    </row>
    <row r="1093" spans="1:6" x14ac:dyDescent="0.3">
      <c r="A1093">
        <v>2022</v>
      </c>
      <c r="B1093" t="s">
        <v>57</v>
      </c>
      <c r="C1093" t="s">
        <v>35</v>
      </c>
      <c r="D1093" s="1">
        <v>14407</v>
      </c>
      <c r="E1093" s="1">
        <v>569811</v>
      </c>
      <c r="F1093" s="2">
        <v>62561</v>
      </c>
    </row>
    <row r="1094" spans="1:6" x14ac:dyDescent="0.3">
      <c r="A1094">
        <v>2022</v>
      </c>
      <c r="B1094" t="s">
        <v>57</v>
      </c>
      <c r="C1094" t="s">
        <v>36</v>
      </c>
      <c r="D1094" s="1">
        <v>1572</v>
      </c>
      <c r="E1094" s="1">
        <v>40340</v>
      </c>
      <c r="F1094" s="2">
        <v>58468</v>
      </c>
    </row>
    <row r="1095" spans="1:6" x14ac:dyDescent="0.3">
      <c r="A1095">
        <v>2022</v>
      </c>
      <c r="B1095" t="s">
        <v>57</v>
      </c>
      <c r="C1095" t="s">
        <v>37</v>
      </c>
      <c r="D1095" s="1">
        <v>6087</v>
      </c>
      <c r="E1095" s="1">
        <v>249719</v>
      </c>
      <c r="F1095" s="2">
        <v>59522</v>
      </c>
    </row>
    <row r="1096" spans="1:6" x14ac:dyDescent="0.3">
      <c r="A1096">
        <v>2022</v>
      </c>
      <c r="B1096" t="s">
        <v>57</v>
      </c>
      <c r="C1096" t="s">
        <v>38</v>
      </c>
      <c r="D1096" s="1">
        <v>1084</v>
      </c>
      <c r="E1096" s="1">
        <v>44442</v>
      </c>
      <c r="F1096" s="2">
        <v>49320</v>
      </c>
    </row>
    <row r="1097" spans="1:6" x14ac:dyDescent="0.3">
      <c r="A1097">
        <v>2022</v>
      </c>
      <c r="B1097" t="s">
        <v>57</v>
      </c>
      <c r="C1097" t="s">
        <v>39</v>
      </c>
      <c r="D1097" s="1">
        <v>7051</v>
      </c>
      <c r="E1097" s="1">
        <v>351073</v>
      </c>
      <c r="F1097" s="2">
        <v>59495</v>
      </c>
    </row>
    <row r="1098" spans="1:6" x14ac:dyDescent="0.3">
      <c r="A1098">
        <v>2022</v>
      </c>
      <c r="B1098" t="s">
        <v>57</v>
      </c>
      <c r="C1098" t="s">
        <v>40</v>
      </c>
      <c r="D1098" s="1">
        <v>24758</v>
      </c>
      <c r="E1098" s="1">
        <v>879509</v>
      </c>
      <c r="F1098" s="2">
        <v>77648</v>
      </c>
    </row>
    <row r="1099" spans="1:6" x14ac:dyDescent="0.3">
      <c r="A1099">
        <v>2022</v>
      </c>
      <c r="B1099" t="s">
        <v>57</v>
      </c>
      <c r="C1099" t="s">
        <v>41</v>
      </c>
      <c r="D1099" s="1">
        <v>4386</v>
      </c>
      <c r="E1099" s="1">
        <v>132149</v>
      </c>
      <c r="F1099" s="2">
        <v>58006</v>
      </c>
    </row>
    <row r="1100" spans="1:6" x14ac:dyDescent="0.3">
      <c r="A1100">
        <v>2022</v>
      </c>
      <c r="B1100" t="s">
        <v>57</v>
      </c>
      <c r="C1100" t="s">
        <v>42</v>
      </c>
      <c r="D1100" s="1">
        <v>1108</v>
      </c>
      <c r="E1100" s="1">
        <v>29827</v>
      </c>
      <c r="F1100" s="2">
        <v>59390</v>
      </c>
    </row>
    <row r="1101" spans="1:6" x14ac:dyDescent="0.3">
      <c r="A1101">
        <v>2022</v>
      </c>
      <c r="B1101" t="s">
        <v>57</v>
      </c>
      <c r="C1101" t="s">
        <v>43</v>
      </c>
      <c r="D1101" s="1">
        <v>6750</v>
      </c>
      <c r="E1101" s="1">
        <v>238645</v>
      </c>
      <c r="F1101" s="2">
        <v>59974</v>
      </c>
    </row>
    <row r="1102" spans="1:6" x14ac:dyDescent="0.3">
      <c r="A1102">
        <v>2022</v>
      </c>
      <c r="B1102" t="s">
        <v>57</v>
      </c>
      <c r="C1102" t="s">
        <v>44</v>
      </c>
      <c r="D1102" s="1">
        <v>7798</v>
      </c>
      <c r="E1102" s="1">
        <v>284112</v>
      </c>
      <c r="F1102" s="2">
        <v>79321</v>
      </c>
    </row>
    <row r="1103" spans="1:6" x14ac:dyDescent="0.3">
      <c r="A1103">
        <v>2022</v>
      </c>
      <c r="B1103" t="s">
        <v>57</v>
      </c>
      <c r="C1103" t="s">
        <v>45</v>
      </c>
      <c r="D1103" s="1">
        <v>1268</v>
      </c>
      <c r="E1103" s="1">
        <v>46952</v>
      </c>
      <c r="F1103" s="2">
        <v>60459</v>
      </c>
    </row>
    <row r="1104" spans="1:6" x14ac:dyDescent="0.3">
      <c r="A1104">
        <v>2022</v>
      </c>
      <c r="B1104" t="s">
        <v>57</v>
      </c>
      <c r="C1104" t="s">
        <v>46</v>
      </c>
      <c r="D1104" s="1">
        <v>9432</v>
      </c>
      <c r="E1104" s="1">
        <v>475510</v>
      </c>
      <c r="F1104" s="2">
        <v>58047</v>
      </c>
    </row>
    <row r="1105" spans="1:6" x14ac:dyDescent="0.3">
      <c r="A1105">
        <v>2022</v>
      </c>
      <c r="B1105" t="s">
        <v>57</v>
      </c>
      <c r="C1105" t="s">
        <v>47</v>
      </c>
      <c r="D1105">
        <v>600</v>
      </c>
      <c r="E1105" s="1">
        <v>9721</v>
      </c>
      <c r="F1105" s="2">
        <v>67060</v>
      </c>
    </row>
    <row r="1106" spans="1:6" x14ac:dyDescent="0.3">
      <c r="A1106">
        <v>2022</v>
      </c>
      <c r="B1106" t="s">
        <v>58</v>
      </c>
      <c r="C1106" t="s">
        <v>0</v>
      </c>
      <c r="D1106" s="1">
        <v>32481</v>
      </c>
      <c r="E1106" s="1">
        <v>377561</v>
      </c>
      <c r="F1106" s="2">
        <v>41970</v>
      </c>
    </row>
    <row r="1107" spans="1:6" x14ac:dyDescent="0.3">
      <c r="A1107">
        <v>2022</v>
      </c>
      <c r="B1107" t="s">
        <v>58</v>
      </c>
      <c r="C1107" t="s">
        <v>1</v>
      </c>
      <c r="D1107" s="1">
        <v>31775</v>
      </c>
      <c r="E1107" s="1">
        <v>532318</v>
      </c>
      <c r="F1107" s="2">
        <v>46734</v>
      </c>
    </row>
    <row r="1108" spans="1:6" x14ac:dyDescent="0.3">
      <c r="A1108">
        <v>2022</v>
      </c>
      <c r="B1108" t="s">
        <v>58</v>
      </c>
      <c r="C1108" t="s">
        <v>2</v>
      </c>
      <c r="D1108" s="1">
        <v>21642</v>
      </c>
      <c r="E1108" s="1">
        <v>248584</v>
      </c>
      <c r="F1108" s="2">
        <v>41450</v>
      </c>
    </row>
    <row r="1109" spans="1:6" x14ac:dyDescent="0.3">
      <c r="A1109">
        <v>2022</v>
      </c>
      <c r="B1109" t="s">
        <v>58</v>
      </c>
      <c r="C1109" t="s">
        <v>3</v>
      </c>
      <c r="D1109" s="1">
        <v>196511</v>
      </c>
      <c r="E1109" s="1">
        <v>3033009</v>
      </c>
      <c r="F1109" s="2">
        <v>52024</v>
      </c>
    </row>
    <row r="1110" spans="1:6" x14ac:dyDescent="0.3">
      <c r="A1110">
        <v>2022</v>
      </c>
      <c r="B1110" t="s">
        <v>58</v>
      </c>
      <c r="C1110" t="s">
        <v>4</v>
      </c>
      <c r="D1110" s="1">
        <v>35891</v>
      </c>
      <c r="E1110" s="1">
        <v>466602</v>
      </c>
      <c r="F1110" s="2">
        <v>50043</v>
      </c>
    </row>
    <row r="1111" spans="1:6" x14ac:dyDescent="0.3">
      <c r="A1111">
        <v>2022</v>
      </c>
      <c r="B1111" t="s">
        <v>58</v>
      </c>
      <c r="C1111" t="s">
        <v>5</v>
      </c>
      <c r="D1111" s="1">
        <v>24902</v>
      </c>
      <c r="E1111" s="1">
        <v>296173</v>
      </c>
      <c r="F1111" s="2">
        <v>51041</v>
      </c>
    </row>
    <row r="1112" spans="1:6" x14ac:dyDescent="0.3">
      <c r="A1112">
        <v>2022</v>
      </c>
      <c r="B1112" t="s">
        <v>58</v>
      </c>
      <c r="C1112" t="s">
        <v>6</v>
      </c>
      <c r="D1112" s="1">
        <v>6850</v>
      </c>
      <c r="E1112" s="1">
        <v>79300</v>
      </c>
      <c r="F1112" s="2">
        <v>40843</v>
      </c>
    </row>
    <row r="1113" spans="1:6" x14ac:dyDescent="0.3">
      <c r="A1113">
        <v>2022</v>
      </c>
      <c r="B1113" t="s">
        <v>58</v>
      </c>
      <c r="C1113" t="s">
        <v>7</v>
      </c>
      <c r="D1113" s="1">
        <v>139486</v>
      </c>
      <c r="E1113" s="1">
        <v>1772605</v>
      </c>
      <c r="F1113" s="2">
        <v>44766</v>
      </c>
    </row>
    <row r="1114" spans="1:6" x14ac:dyDescent="0.3">
      <c r="A1114">
        <v>2022</v>
      </c>
      <c r="B1114" t="s">
        <v>58</v>
      </c>
      <c r="C1114" t="s">
        <v>8</v>
      </c>
      <c r="D1114" s="1">
        <v>60996</v>
      </c>
      <c r="E1114" s="1">
        <v>934259</v>
      </c>
      <c r="F1114" s="2">
        <v>49352</v>
      </c>
    </row>
    <row r="1115" spans="1:6" x14ac:dyDescent="0.3">
      <c r="A1115">
        <v>2022</v>
      </c>
      <c r="B1115" t="s">
        <v>58</v>
      </c>
      <c r="C1115" t="s">
        <v>9</v>
      </c>
      <c r="D1115" s="1">
        <v>11969</v>
      </c>
      <c r="E1115" s="1">
        <v>139473</v>
      </c>
      <c r="F1115" s="2">
        <v>39972</v>
      </c>
    </row>
    <row r="1116" spans="1:6" x14ac:dyDescent="0.3">
      <c r="A1116">
        <v>2022</v>
      </c>
      <c r="B1116" t="s">
        <v>58</v>
      </c>
      <c r="C1116" t="s">
        <v>10</v>
      </c>
      <c r="D1116" s="1">
        <v>78063</v>
      </c>
      <c r="E1116" s="1">
        <v>1192654</v>
      </c>
      <c r="F1116" s="2">
        <v>51570</v>
      </c>
    </row>
    <row r="1117" spans="1:6" x14ac:dyDescent="0.3">
      <c r="A1117">
        <v>2022</v>
      </c>
      <c r="B1117" t="s">
        <v>58</v>
      </c>
      <c r="C1117" t="s">
        <v>11</v>
      </c>
      <c r="D1117" s="1">
        <v>40681</v>
      </c>
      <c r="E1117" s="1">
        <v>591234</v>
      </c>
      <c r="F1117" s="2">
        <v>42092</v>
      </c>
    </row>
    <row r="1118" spans="1:6" x14ac:dyDescent="0.3">
      <c r="A1118">
        <v>2022</v>
      </c>
      <c r="B1118" t="s">
        <v>58</v>
      </c>
      <c r="C1118" t="s">
        <v>12</v>
      </c>
      <c r="D1118" s="1">
        <v>23521</v>
      </c>
      <c r="E1118" s="1">
        <v>309603</v>
      </c>
      <c r="F1118" s="2">
        <v>40539</v>
      </c>
    </row>
    <row r="1119" spans="1:6" x14ac:dyDescent="0.3">
      <c r="A1119">
        <v>2022</v>
      </c>
      <c r="B1119" t="s">
        <v>58</v>
      </c>
      <c r="C1119" t="s">
        <v>13</v>
      </c>
      <c r="D1119" s="1">
        <v>20370</v>
      </c>
      <c r="E1119" s="1">
        <v>263858</v>
      </c>
      <c r="F1119" s="2">
        <v>42235</v>
      </c>
    </row>
    <row r="1120" spans="1:6" x14ac:dyDescent="0.3">
      <c r="A1120">
        <v>2022</v>
      </c>
      <c r="B1120" t="s">
        <v>58</v>
      </c>
      <c r="C1120" t="s">
        <v>14</v>
      </c>
      <c r="D1120" s="1">
        <v>28056</v>
      </c>
      <c r="E1120" s="1">
        <v>399946</v>
      </c>
      <c r="F1120" s="2">
        <v>42623</v>
      </c>
    </row>
    <row r="1121" spans="1:6" x14ac:dyDescent="0.3">
      <c r="A1121">
        <v>2022</v>
      </c>
      <c r="B1121" t="s">
        <v>58</v>
      </c>
      <c r="C1121" t="s">
        <v>15</v>
      </c>
      <c r="D1121" s="1">
        <v>30545</v>
      </c>
      <c r="E1121" s="1">
        <v>377555</v>
      </c>
      <c r="F1121" s="2">
        <v>42196</v>
      </c>
    </row>
    <row r="1122" spans="1:6" x14ac:dyDescent="0.3">
      <c r="A1122">
        <v>2022</v>
      </c>
      <c r="B1122" t="s">
        <v>58</v>
      </c>
      <c r="C1122" t="s">
        <v>16</v>
      </c>
      <c r="D1122" s="1">
        <v>10761</v>
      </c>
      <c r="E1122" s="1">
        <v>118191</v>
      </c>
      <c r="F1122" s="2">
        <v>37589</v>
      </c>
    </row>
    <row r="1123" spans="1:6" x14ac:dyDescent="0.3">
      <c r="A1123">
        <v>2022</v>
      </c>
      <c r="B1123" t="s">
        <v>58</v>
      </c>
      <c r="C1123" t="s">
        <v>17</v>
      </c>
      <c r="D1123" s="1">
        <v>32767</v>
      </c>
      <c r="E1123" s="1">
        <v>462590</v>
      </c>
      <c r="F1123" s="2">
        <v>46648</v>
      </c>
    </row>
    <row r="1124" spans="1:6" x14ac:dyDescent="0.3">
      <c r="A1124">
        <v>2022</v>
      </c>
      <c r="B1124" t="s">
        <v>58</v>
      </c>
      <c r="C1124" t="s">
        <v>18</v>
      </c>
      <c r="D1124" s="1">
        <v>42171</v>
      </c>
      <c r="E1124" s="1">
        <v>577061</v>
      </c>
      <c r="F1124" s="2">
        <v>52937</v>
      </c>
    </row>
    <row r="1125" spans="1:6" x14ac:dyDescent="0.3">
      <c r="A1125">
        <v>2022</v>
      </c>
      <c r="B1125" t="s">
        <v>58</v>
      </c>
      <c r="C1125" t="s">
        <v>19</v>
      </c>
      <c r="D1125" s="1">
        <v>52459</v>
      </c>
      <c r="E1125" s="1">
        <v>786892</v>
      </c>
      <c r="F1125" s="2">
        <v>47200</v>
      </c>
    </row>
    <row r="1126" spans="1:6" x14ac:dyDescent="0.3">
      <c r="A1126">
        <v>2022</v>
      </c>
      <c r="B1126" t="s">
        <v>58</v>
      </c>
      <c r="C1126" t="s">
        <v>20</v>
      </c>
      <c r="D1126" s="1">
        <v>37272</v>
      </c>
      <c r="E1126" s="1">
        <v>531669</v>
      </c>
      <c r="F1126" s="2">
        <v>49570</v>
      </c>
    </row>
    <row r="1127" spans="1:6" x14ac:dyDescent="0.3">
      <c r="A1127">
        <v>2022</v>
      </c>
      <c r="B1127" t="s">
        <v>58</v>
      </c>
      <c r="C1127" t="s">
        <v>21</v>
      </c>
      <c r="D1127" s="1">
        <v>19763</v>
      </c>
      <c r="E1127" s="1">
        <v>229107</v>
      </c>
      <c r="F1127" s="2">
        <v>36497</v>
      </c>
    </row>
    <row r="1128" spans="1:6" x14ac:dyDescent="0.3">
      <c r="A1128">
        <v>2022</v>
      </c>
      <c r="B1128" t="s">
        <v>58</v>
      </c>
      <c r="C1128" t="s">
        <v>22</v>
      </c>
      <c r="D1128" s="1">
        <v>38808</v>
      </c>
      <c r="E1128" s="1">
        <v>537150</v>
      </c>
      <c r="F1128" s="2">
        <v>42469</v>
      </c>
    </row>
    <row r="1129" spans="1:6" x14ac:dyDescent="0.3">
      <c r="A1129">
        <v>2022</v>
      </c>
      <c r="B1129" t="s">
        <v>58</v>
      </c>
      <c r="C1129" t="s">
        <v>23</v>
      </c>
      <c r="D1129" s="1">
        <v>9250</v>
      </c>
      <c r="E1129" s="1">
        <v>91355</v>
      </c>
      <c r="F1129" s="2">
        <v>39170</v>
      </c>
    </row>
    <row r="1130" spans="1:6" x14ac:dyDescent="0.3">
      <c r="A1130">
        <v>2022</v>
      </c>
      <c r="B1130" t="s">
        <v>58</v>
      </c>
      <c r="C1130" t="s">
        <v>24</v>
      </c>
      <c r="D1130" s="1">
        <v>14923</v>
      </c>
      <c r="E1130" s="1">
        <v>189793</v>
      </c>
      <c r="F1130" s="2">
        <v>39891</v>
      </c>
    </row>
    <row r="1131" spans="1:6" x14ac:dyDescent="0.3">
      <c r="A1131">
        <v>2022</v>
      </c>
      <c r="B1131" t="s">
        <v>58</v>
      </c>
      <c r="C1131" t="s">
        <v>25</v>
      </c>
      <c r="D1131" s="1">
        <v>15829</v>
      </c>
      <c r="E1131" s="1">
        <v>254417</v>
      </c>
      <c r="F1131" s="2">
        <v>44190</v>
      </c>
    </row>
    <row r="1132" spans="1:6" x14ac:dyDescent="0.3">
      <c r="A1132">
        <v>2022</v>
      </c>
      <c r="B1132" t="s">
        <v>58</v>
      </c>
      <c r="C1132" t="s">
        <v>26</v>
      </c>
      <c r="D1132" s="1">
        <v>12509</v>
      </c>
      <c r="E1132" s="1">
        <v>139183</v>
      </c>
      <c r="F1132" s="2">
        <v>47777</v>
      </c>
    </row>
    <row r="1133" spans="1:6" x14ac:dyDescent="0.3">
      <c r="A1133">
        <v>2022</v>
      </c>
      <c r="B1133" t="s">
        <v>58</v>
      </c>
      <c r="C1133" t="s">
        <v>27</v>
      </c>
      <c r="D1133" s="1">
        <v>54238</v>
      </c>
      <c r="E1133" s="1">
        <v>876344</v>
      </c>
      <c r="F1133" s="2">
        <v>53723</v>
      </c>
    </row>
    <row r="1134" spans="1:6" x14ac:dyDescent="0.3">
      <c r="A1134">
        <v>2022</v>
      </c>
      <c r="B1134" t="s">
        <v>58</v>
      </c>
      <c r="C1134" t="s">
        <v>28</v>
      </c>
      <c r="D1134" s="1">
        <v>10758</v>
      </c>
      <c r="E1134" s="1">
        <v>135970</v>
      </c>
      <c r="F1134" s="2">
        <v>38078</v>
      </c>
    </row>
    <row r="1135" spans="1:6" x14ac:dyDescent="0.3">
      <c r="A1135">
        <v>2022</v>
      </c>
      <c r="B1135" t="s">
        <v>58</v>
      </c>
      <c r="C1135" t="s">
        <v>29</v>
      </c>
      <c r="D1135" s="1">
        <v>123741</v>
      </c>
      <c r="E1135" s="1">
        <v>1554768</v>
      </c>
      <c r="F1135" s="2">
        <v>51832</v>
      </c>
    </row>
    <row r="1136" spans="1:6" x14ac:dyDescent="0.3">
      <c r="A1136">
        <v>2022</v>
      </c>
      <c r="B1136" t="s">
        <v>58</v>
      </c>
      <c r="C1136" t="s">
        <v>30</v>
      </c>
      <c r="D1136" s="1">
        <v>61525</v>
      </c>
      <c r="E1136" s="1">
        <v>830550</v>
      </c>
      <c r="F1136" s="2">
        <v>43092</v>
      </c>
    </row>
    <row r="1137" spans="1:6" x14ac:dyDescent="0.3">
      <c r="A1137">
        <v>2022</v>
      </c>
      <c r="B1137" t="s">
        <v>58</v>
      </c>
      <c r="C1137" t="s">
        <v>31</v>
      </c>
      <c r="D1137" s="1">
        <v>7753</v>
      </c>
      <c r="E1137" s="1">
        <v>91635</v>
      </c>
      <c r="F1137" s="2">
        <v>49819</v>
      </c>
    </row>
    <row r="1138" spans="1:6" x14ac:dyDescent="0.3">
      <c r="A1138">
        <v>2022</v>
      </c>
      <c r="B1138" t="s">
        <v>58</v>
      </c>
      <c r="C1138" t="s">
        <v>32</v>
      </c>
      <c r="D1138" s="1">
        <v>68615</v>
      </c>
      <c r="E1138" s="1">
        <v>1017249</v>
      </c>
      <c r="F1138" s="2">
        <v>44247</v>
      </c>
    </row>
    <row r="1139" spans="1:6" x14ac:dyDescent="0.3">
      <c r="A1139">
        <v>2022</v>
      </c>
      <c r="B1139" t="s">
        <v>58</v>
      </c>
      <c r="C1139" t="s">
        <v>33</v>
      </c>
      <c r="D1139" s="1">
        <v>23748</v>
      </c>
      <c r="E1139" s="1">
        <v>297631</v>
      </c>
      <c r="F1139" s="2">
        <v>41554</v>
      </c>
    </row>
    <row r="1140" spans="1:6" x14ac:dyDescent="0.3">
      <c r="A1140">
        <v>2022</v>
      </c>
      <c r="B1140" t="s">
        <v>58</v>
      </c>
      <c r="C1140" t="s">
        <v>34</v>
      </c>
      <c r="D1140" s="1">
        <v>26503</v>
      </c>
      <c r="E1140" s="1">
        <v>349656</v>
      </c>
      <c r="F1140" s="2">
        <v>44347</v>
      </c>
    </row>
    <row r="1141" spans="1:6" x14ac:dyDescent="0.3">
      <c r="A1141">
        <v>2022</v>
      </c>
      <c r="B1141" t="s">
        <v>58</v>
      </c>
      <c r="C1141" t="s">
        <v>35</v>
      </c>
      <c r="D1141" s="1">
        <v>74845</v>
      </c>
      <c r="E1141" s="1">
        <v>1117054</v>
      </c>
      <c r="F1141" s="2">
        <v>45000</v>
      </c>
    </row>
    <row r="1142" spans="1:6" x14ac:dyDescent="0.3">
      <c r="A1142">
        <v>2022</v>
      </c>
      <c r="B1142" t="s">
        <v>58</v>
      </c>
      <c r="C1142" t="s">
        <v>36</v>
      </c>
      <c r="D1142" s="1">
        <v>7658</v>
      </c>
      <c r="E1142" s="1">
        <v>76762</v>
      </c>
      <c r="F1142" s="2">
        <v>43902</v>
      </c>
    </row>
    <row r="1143" spans="1:6" x14ac:dyDescent="0.3">
      <c r="A1143">
        <v>2022</v>
      </c>
      <c r="B1143" t="s">
        <v>58</v>
      </c>
      <c r="C1143" t="s">
        <v>37</v>
      </c>
      <c r="D1143" s="1">
        <v>30013</v>
      </c>
      <c r="E1143" s="1">
        <v>402308</v>
      </c>
      <c r="F1143" s="2">
        <v>39429</v>
      </c>
    </row>
    <row r="1144" spans="1:6" x14ac:dyDescent="0.3">
      <c r="A1144">
        <v>2022</v>
      </c>
      <c r="B1144" t="s">
        <v>58</v>
      </c>
      <c r="C1144" t="s">
        <v>38</v>
      </c>
      <c r="D1144" s="1">
        <v>8059</v>
      </c>
      <c r="E1144" s="1">
        <v>85734</v>
      </c>
      <c r="F1144" s="2">
        <v>39650</v>
      </c>
    </row>
    <row r="1145" spans="1:6" x14ac:dyDescent="0.3">
      <c r="A1145">
        <v>2022</v>
      </c>
      <c r="B1145" t="s">
        <v>58</v>
      </c>
      <c r="C1145" t="s">
        <v>39</v>
      </c>
      <c r="D1145" s="1">
        <v>40040</v>
      </c>
      <c r="E1145" s="1">
        <v>623566</v>
      </c>
      <c r="F1145" s="2">
        <v>46137</v>
      </c>
    </row>
    <row r="1146" spans="1:6" x14ac:dyDescent="0.3">
      <c r="A1146">
        <v>2022</v>
      </c>
      <c r="B1146" t="s">
        <v>58</v>
      </c>
      <c r="C1146" t="s">
        <v>40</v>
      </c>
      <c r="D1146" s="1">
        <v>147447</v>
      </c>
      <c r="E1146" s="1">
        <v>2465009</v>
      </c>
      <c r="F1146" s="2">
        <v>52337</v>
      </c>
    </row>
    <row r="1147" spans="1:6" x14ac:dyDescent="0.3">
      <c r="A1147">
        <v>2022</v>
      </c>
      <c r="B1147" t="s">
        <v>58</v>
      </c>
      <c r="C1147" t="s">
        <v>41</v>
      </c>
      <c r="D1147" s="1">
        <v>19531</v>
      </c>
      <c r="E1147" s="1">
        <v>284283</v>
      </c>
      <c r="F1147" s="2">
        <v>44163</v>
      </c>
    </row>
    <row r="1148" spans="1:6" x14ac:dyDescent="0.3">
      <c r="A1148">
        <v>2022</v>
      </c>
      <c r="B1148" t="s">
        <v>58</v>
      </c>
      <c r="C1148" t="s">
        <v>42</v>
      </c>
      <c r="D1148" s="1">
        <v>5084</v>
      </c>
      <c r="E1148" s="1">
        <v>54476</v>
      </c>
      <c r="F1148" s="2">
        <v>40351</v>
      </c>
    </row>
    <row r="1149" spans="1:6" x14ac:dyDescent="0.3">
      <c r="A1149">
        <v>2022</v>
      </c>
      <c r="B1149" t="s">
        <v>58</v>
      </c>
      <c r="C1149" t="s">
        <v>43</v>
      </c>
      <c r="D1149" s="1">
        <v>43180</v>
      </c>
      <c r="E1149" s="1">
        <v>650233</v>
      </c>
      <c r="F1149" s="2">
        <v>43886</v>
      </c>
    </row>
    <row r="1150" spans="1:6" x14ac:dyDescent="0.3">
      <c r="A1150">
        <v>2022</v>
      </c>
      <c r="B1150" t="s">
        <v>58</v>
      </c>
      <c r="C1150" t="s">
        <v>44</v>
      </c>
      <c r="D1150" s="1">
        <v>39324</v>
      </c>
      <c r="E1150" s="1">
        <v>621384</v>
      </c>
      <c r="F1150" s="2">
        <v>63994</v>
      </c>
    </row>
    <row r="1151" spans="1:6" x14ac:dyDescent="0.3">
      <c r="A1151">
        <v>2022</v>
      </c>
      <c r="B1151" t="s">
        <v>58</v>
      </c>
      <c r="C1151" t="s">
        <v>45</v>
      </c>
      <c r="D1151" s="1">
        <v>10925</v>
      </c>
      <c r="E1151" s="1">
        <v>128211</v>
      </c>
      <c r="F1151" s="2">
        <v>38698</v>
      </c>
    </row>
    <row r="1152" spans="1:6" x14ac:dyDescent="0.3">
      <c r="A1152">
        <v>2022</v>
      </c>
      <c r="B1152" t="s">
        <v>58</v>
      </c>
      <c r="C1152" t="s">
        <v>46</v>
      </c>
      <c r="D1152" s="1">
        <v>36496</v>
      </c>
      <c r="E1152" s="1">
        <v>541333</v>
      </c>
      <c r="F1152" s="2">
        <v>41512</v>
      </c>
    </row>
    <row r="1153" spans="1:6" x14ac:dyDescent="0.3">
      <c r="A1153">
        <v>2022</v>
      </c>
      <c r="B1153" t="s">
        <v>58</v>
      </c>
      <c r="C1153" t="s">
        <v>47</v>
      </c>
      <c r="D1153" s="1">
        <v>4830</v>
      </c>
      <c r="E1153" s="1">
        <v>49819</v>
      </c>
      <c r="F1153" s="2">
        <v>42737</v>
      </c>
    </row>
    <row r="1154" spans="1:6" x14ac:dyDescent="0.3">
      <c r="A1154">
        <v>2022</v>
      </c>
      <c r="B1154" t="s">
        <v>59</v>
      </c>
      <c r="C1154" t="s">
        <v>0</v>
      </c>
      <c r="D1154" s="1">
        <v>2168</v>
      </c>
      <c r="E1154" s="1">
        <v>21030</v>
      </c>
      <c r="F1154" s="2">
        <v>60025</v>
      </c>
    </row>
    <row r="1155" spans="1:6" x14ac:dyDescent="0.3">
      <c r="A1155">
        <v>2022</v>
      </c>
      <c r="B1155" t="s">
        <v>59</v>
      </c>
      <c r="C1155" t="s">
        <v>1</v>
      </c>
      <c r="D1155" s="1">
        <v>3113</v>
      </c>
      <c r="E1155" s="1">
        <v>47340</v>
      </c>
      <c r="F1155" s="2">
        <v>75499</v>
      </c>
    </row>
    <row r="1156" spans="1:6" x14ac:dyDescent="0.3">
      <c r="A1156">
        <v>2022</v>
      </c>
      <c r="B1156" t="s">
        <v>59</v>
      </c>
      <c r="C1156" t="s">
        <v>2</v>
      </c>
      <c r="D1156" s="1">
        <v>1210</v>
      </c>
      <c r="E1156" s="1">
        <v>10913</v>
      </c>
      <c r="F1156" s="2">
        <v>53828</v>
      </c>
    </row>
    <row r="1157" spans="1:6" x14ac:dyDescent="0.3">
      <c r="A1157">
        <v>2022</v>
      </c>
      <c r="B1157" t="s">
        <v>59</v>
      </c>
      <c r="C1157" t="s">
        <v>3</v>
      </c>
      <c r="D1157" s="1">
        <v>26592</v>
      </c>
      <c r="E1157" s="1">
        <v>525771</v>
      </c>
      <c r="F1157" s="2">
        <v>188173</v>
      </c>
    </row>
    <row r="1158" spans="1:6" x14ac:dyDescent="0.3">
      <c r="A1158">
        <v>2022</v>
      </c>
      <c r="B1158" t="s">
        <v>59</v>
      </c>
      <c r="C1158" t="s">
        <v>4</v>
      </c>
      <c r="D1158" s="1">
        <v>4173</v>
      </c>
      <c r="E1158" s="1">
        <v>75076</v>
      </c>
      <c r="F1158" s="2">
        <v>100735</v>
      </c>
    </row>
    <row r="1159" spans="1:6" x14ac:dyDescent="0.3">
      <c r="A1159">
        <v>2022</v>
      </c>
      <c r="B1159" t="s">
        <v>59</v>
      </c>
      <c r="C1159" t="s">
        <v>5</v>
      </c>
      <c r="D1159" s="1">
        <v>2306</v>
      </c>
      <c r="E1159" s="1">
        <v>31734</v>
      </c>
      <c r="F1159" s="2">
        <v>110642</v>
      </c>
    </row>
    <row r="1160" spans="1:6" x14ac:dyDescent="0.3">
      <c r="A1160">
        <v>2022</v>
      </c>
      <c r="B1160" t="s">
        <v>59</v>
      </c>
      <c r="C1160" t="s">
        <v>6</v>
      </c>
      <c r="D1160">
        <v>433</v>
      </c>
      <c r="E1160" s="1">
        <v>4065</v>
      </c>
      <c r="F1160" s="2">
        <v>65782</v>
      </c>
    </row>
    <row r="1161" spans="1:6" x14ac:dyDescent="0.3">
      <c r="A1161">
        <v>2022</v>
      </c>
      <c r="B1161" t="s">
        <v>59</v>
      </c>
      <c r="C1161" t="s">
        <v>7</v>
      </c>
      <c r="D1161" s="1">
        <v>11205</v>
      </c>
      <c r="E1161" s="1">
        <v>138995</v>
      </c>
      <c r="F1161" s="2">
        <v>81168</v>
      </c>
    </row>
    <row r="1162" spans="1:6" x14ac:dyDescent="0.3">
      <c r="A1162">
        <v>2022</v>
      </c>
      <c r="B1162" t="s">
        <v>59</v>
      </c>
      <c r="C1162" t="s">
        <v>8</v>
      </c>
      <c r="D1162" s="1">
        <v>5113</v>
      </c>
      <c r="E1162" s="1">
        <v>114231</v>
      </c>
      <c r="F1162" s="2">
        <v>96613</v>
      </c>
    </row>
    <row r="1163" spans="1:6" x14ac:dyDescent="0.3">
      <c r="A1163">
        <v>2022</v>
      </c>
      <c r="B1163" t="s">
        <v>59</v>
      </c>
      <c r="C1163" t="s">
        <v>9</v>
      </c>
      <c r="D1163" s="1">
        <v>1223</v>
      </c>
      <c r="E1163" s="1">
        <v>8798</v>
      </c>
      <c r="F1163" s="2">
        <v>52761</v>
      </c>
    </row>
    <row r="1164" spans="1:6" x14ac:dyDescent="0.3">
      <c r="A1164">
        <v>2022</v>
      </c>
      <c r="B1164" t="s">
        <v>59</v>
      </c>
      <c r="C1164" t="s">
        <v>10</v>
      </c>
      <c r="D1164" s="1">
        <v>6688</v>
      </c>
      <c r="E1164" s="1">
        <v>94330</v>
      </c>
      <c r="F1164" s="2">
        <v>91164</v>
      </c>
    </row>
    <row r="1165" spans="1:6" x14ac:dyDescent="0.3">
      <c r="A1165">
        <v>2022</v>
      </c>
      <c r="B1165" t="s">
        <v>59</v>
      </c>
      <c r="C1165" t="s">
        <v>11</v>
      </c>
      <c r="D1165" s="1">
        <v>2123</v>
      </c>
      <c r="E1165" s="1">
        <v>29375</v>
      </c>
      <c r="F1165" s="2">
        <v>60371</v>
      </c>
    </row>
    <row r="1166" spans="1:6" x14ac:dyDescent="0.3">
      <c r="A1166">
        <v>2022</v>
      </c>
      <c r="B1166" t="s">
        <v>59</v>
      </c>
      <c r="C1166" t="s">
        <v>12</v>
      </c>
      <c r="D1166" s="1">
        <v>1742</v>
      </c>
      <c r="E1166" s="1">
        <v>22022</v>
      </c>
      <c r="F1166" s="2">
        <v>58519</v>
      </c>
    </row>
    <row r="1167" spans="1:6" x14ac:dyDescent="0.3">
      <c r="A1167">
        <v>2022</v>
      </c>
      <c r="B1167" t="s">
        <v>59</v>
      </c>
      <c r="C1167" t="s">
        <v>13</v>
      </c>
      <c r="D1167" s="1">
        <v>1308</v>
      </c>
      <c r="E1167" s="1">
        <v>18664</v>
      </c>
      <c r="F1167" s="2">
        <v>63399</v>
      </c>
    </row>
    <row r="1168" spans="1:6" x14ac:dyDescent="0.3">
      <c r="A1168">
        <v>2022</v>
      </c>
      <c r="B1168" t="s">
        <v>59</v>
      </c>
      <c r="C1168" t="s">
        <v>14</v>
      </c>
      <c r="D1168" s="1">
        <v>1785</v>
      </c>
      <c r="E1168" s="1">
        <v>21989</v>
      </c>
      <c r="F1168" s="2">
        <v>54629</v>
      </c>
    </row>
    <row r="1169" spans="1:6" x14ac:dyDescent="0.3">
      <c r="A1169">
        <v>2022</v>
      </c>
      <c r="B1169" t="s">
        <v>59</v>
      </c>
      <c r="C1169" t="s">
        <v>15</v>
      </c>
      <c r="D1169" s="1">
        <v>1716</v>
      </c>
      <c r="E1169" s="1">
        <v>22869</v>
      </c>
      <c r="F1169" s="2">
        <v>58223</v>
      </c>
    </row>
    <row r="1170" spans="1:6" x14ac:dyDescent="0.3">
      <c r="A1170">
        <v>2022</v>
      </c>
      <c r="B1170" t="s">
        <v>59</v>
      </c>
      <c r="C1170" t="s">
        <v>16</v>
      </c>
      <c r="D1170">
        <v>849</v>
      </c>
      <c r="E1170" s="1">
        <v>7397</v>
      </c>
      <c r="F1170" s="2">
        <v>54502</v>
      </c>
    </row>
    <row r="1171" spans="1:6" x14ac:dyDescent="0.3">
      <c r="A1171">
        <v>2022</v>
      </c>
      <c r="B1171" t="s">
        <v>59</v>
      </c>
      <c r="C1171" t="s">
        <v>17</v>
      </c>
      <c r="D1171" s="1">
        <v>2737</v>
      </c>
      <c r="E1171" s="1">
        <v>36210</v>
      </c>
      <c r="F1171" s="2">
        <v>92844</v>
      </c>
    </row>
    <row r="1172" spans="1:6" x14ac:dyDescent="0.3">
      <c r="A1172">
        <v>2022</v>
      </c>
      <c r="B1172" t="s">
        <v>59</v>
      </c>
      <c r="C1172" t="s">
        <v>18</v>
      </c>
      <c r="D1172" s="1">
        <v>5379</v>
      </c>
      <c r="E1172" s="1">
        <v>91783</v>
      </c>
      <c r="F1172" s="2">
        <v>123118</v>
      </c>
    </row>
    <row r="1173" spans="1:6" x14ac:dyDescent="0.3">
      <c r="A1173">
        <v>2022</v>
      </c>
      <c r="B1173" t="s">
        <v>59</v>
      </c>
      <c r="C1173" t="s">
        <v>19</v>
      </c>
      <c r="D1173" s="1">
        <v>6287</v>
      </c>
      <c r="E1173" s="1">
        <v>56247</v>
      </c>
      <c r="F1173" s="2">
        <v>73556</v>
      </c>
    </row>
    <row r="1174" spans="1:6" x14ac:dyDescent="0.3">
      <c r="A1174">
        <v>2022</v>
      </c>
      <c r="B1174" t="s">
        <v>59</v>
      </c>
      <c r="C1174" t="s">
        <v>20</v>
      </c>
      <c r="D1174" s="1">
        <v>3977</v>
      </c>
      <c r="E1174" s="1">
        <v>49170</v>
      </c>
      <c r="F1174" s="2">
        <v>78903</v>
      </c>
    </row>
    <row r="1175" spans="1:6" x14ac:dyDescent="0.3">
      <c r="A1175">
        <v>2022</v>
      </c>
      <c r="B1175" t="s">
        <v>59</v>
      </c>
      <c r="C1175" t="s">
        <v>21</v>
      </c>
      <c r="D1175">
        <v>940</v>
      </c>
      <c r="E1175" s="1">
        <v>10980</v>
      </c>
      <c r="F1175" s="2">
        <v>49173</v>
      </c>
    </row>
    <row r="1176" spans="1:6" x14ac:dyDescent="0.3">
      <c r="A1176">
        <v>2022</v>
      </c>
      <c r="B1176" t="s">
        <v>59</v>
      </c>
      <c r="C1176" t="s">
        <v>22</v>
      </c>
      <c r="D1176" s="1">
        <v>3049</v>
      </c>
      <c r="E1176" s="1">
        <v>47666</v>
      </c>
      <c r="F1176" s="2">
        <v>81842</v>
      </c>
    </row>
    <row r="1177" spans="1:6" x14ac:dyDescent="0.3">
      <c r="A1177">
        <v>2022</v>
      </c>
      <c r="B1177" t="s">
        <v>59</v>
      </c>
      <c r="C1177" t="s">
        <v>23</v>
      </c>
      <c r="D1177">
        <v>801</v>
      </c>
      <c r="E1177" s="1">
        <v>6350</v>
      </c>
      <c r="F1177" s="2">
        <v>54475</v>
      </c>
    </row>
    <row r="1178" spans="1:6" x14ac:dyDescent="0.3">
      <c r="A1178">
        <v>2022</v>
      </c>
      <c r="B1178" t="s">
        <v>59</v>
      </c>
      <c r="C1178" t="s">
        <v>24</v>
      </c>
      <c r="D1178">
        <v>973</v>
      </c>
      <c r="E1178" s="1">
        <v>17653</v>
      </c>
      <c r="F1178" s="2">
        <v>64407</v>
      </c>
    </row>
    <row r="1179" spans="1:6" x14ac:dyDescent="0.3">
      <c r="A1179">
        <v>2022</v>
      </c>
      <c r="B1179" t="s">
        <v>59</v>
      </c>
      <c r="C1179" t="s">
        <v>25</v>
      </c>
      <c r="D1179" s="1">
        <v>1541</v>
      </c>
      <c r="E1179" s="1">
        <v>15646</v>
      </c>
      <c r="F1179" s="2">
        <v>70292</v>
      </c>
    </row>
    <row r="1180" spans="1:6" x14ac:dyDescent="0.3">
      <c r="A1180">
        <v>2022</v>
      </c>
      <c r="B1180" t="s">
        <v>59</v>
      </c>
      <c r="C1180" t="s">
        <v>26</v>
      </c>
      <c r="D1180">
        <v>892</v>
      </c>
      <c r="E1180" s="1">
        <v>12351</v>
      </c>
      <c r="F1180" s="2">
        <v>93599</v>
      </c>
    </row>
    <row r="1181" spans="1:6" x14ac:dyDescent="0.3">
      <c r="A1181">
        <v>2022</v>
      </c>
      <c r="B1181" t="s">
        <v>59</v>
      </c>
      <c r="C1181" t="s">
        <v>27</v>
      </c>
      <c r="D1181" s="1">
        <v>3722</v>
      </c>
      <c r="E1181" s="1">
        <v>69519</v>
      </c>
      <c r="F1181" s="2">
        <v>114630</v>
      </c>
    </row>
    <row r="1182" spans="1:6" x14ac:dyDescent="0.3">
      <c r="A1182">
        <v>2022</v>
      </c>
      <c r="B1182" t="s">
        <v>59</v>
      </c>
      <c r="C1182" t="s">
        <v>28</v>
      </c>
      <c r="D1182">
        <v>987</v>
      </c>
      <c r="E1182" s="1">
        <v>12015</v>
      </c>
      <c r="F1182" s="2">
        <v>53204</v>
      </c>
    </row>
    <row r="1183" spans="1:6" x14ac:dyDescent="0.3">
      <c r="A1183">
        <v>2022</v>
      </c>
      <c r="B1183" t="s">
        <v>59</v>
      </c>
      <c r="C1183" t="s">
        <v>29</v>
      </c>
      <c r="D1183" s="1">
        <v>12672</v>
      </c>
      <c r="E1183" s="1">
        <v>275598</v>
      </c>
      <c r="F1183" s="2">
        <v>129853</v>
      </c>
    </row>
    <row r="1184" spans="1:6" x14ac:dyDescent="0.3">
      <c r="A1184">
        <v>2022</v>
      </c>
      <c r="B1184" t="s">
        <v>59</v>
      </c>
      <c r="C1184" t="s">
        <v>30</v>
      </c>
      <c r="D1184" s="1">
        <v>5238</v>
      </c>
      <c r="E1184" s="1">
        <v>79945</v>
      </c>
      <c r="F1184" s="2">
        <v>83920</v>
      </c>
    </row>
    <row r="1185" spans="1:6" x14ac:dyDescent="0.3">
      <c r="A1185">
        <v>2022</v>
      </c>
      <c r="B1185" t="s">
        <v>59</v>
      </c>
      <c r="C1185" t="s">
        <v>31</v>
      </c>
      <c r="D1185">
        <v>395</v>
      </c>
      <c r="E1185" s="1">
        <v>6221</v>
      </c>
      <c r="F1185" s="2">
        <v>70208</v>
      </c>
    </row>
    <row r="1186" spans="1:6" x14ac:dyDescent="0.3">
      <c r="A1186">
        <v>2022</v>
      </c>
      <c r="B1186" t="s">
        <v>59</v>
      </c>
      <c r="C1186" t="s">
        <v>32</v>
      </c>
      <c r="D1186" s="1">
        <v>4616</v>
      </c>
      <c r="E1186" s="1">
        <v>70930</v>
      </c>
      <c r="F1186" s="2">
        <v>70006</v>
      </c>
    </row>
    <row r="1187" spans="1:6" x14ac:dyDescent="0.3">
      <c r="A1187">
        <v>2022</v>
      </c>
      <c r="B1187" t="s">
        <v>59</v>
      </c>
      <c r="C1187" t="s">
        <v>33</v>
      </c>
      <c r="D1187" s="1">
        <v>1469</v>
      </c>
      <c r="E1187" s="1">
        <v>19859</v>
      </c>
      <c r="F1187" s="2">
        <v>58997</v>
      </c>
    </row>
    <row r="1188" spans="1:6" x14ac:dyDescent="0.3">
      <c r="A1188">
        <v>2022</v>
      </c>
      <c r="B1188" t="s">
        <v>59</v>
      </c>
      <c r="C1188" t="s">
        <v>34</v>
      </c>
      <c r="D1188" s="1">
        <v>3768</v>
      </c>
      <c r="E1188" s="1">
        <v>34277</v>
      </c>
      <c r="F1188" s="2">
        <v>87733</v>
      </c>
    </row>
    <row r="1189" spans="1:6" x14ac:dyDescent="0.3">
      <c r="A1189">
        <v>2022</v>
      </c>
      <c r="B1189" t="s">
        <v>59</v>
      </c>
      <c r="C1189" t="s">
        <v>35</v>
      </c>
      <c r="D1189" s="1">
        <v>4896</v>
      </c>
      <c r="E1189" s="1">
        <v>85970</v>
      </c>
      <c r="F1189" s="2">
        <v>87091</v>
      </c>
    </row>
    <row r="1190" spans="1:6" x14ac:dyDescent="0.3">
      <c r="A1190">
        <v>2022</v>
      </c>
      <c r="B1190" t="s">
        <v>59</v>
      </c>
      <c r="C1190" t="s">
        <v>36</v>
      </c>
      <c r="D1190">
        <v>715</v>
      </c>
      <c r="E1190" s="1">
        <v>5930</v>
      </c>
      <c r="F1190" s="2">
        <v>74327</v>
      </c>
    </row>
    <row r="1191" spans="1:6" x14ac:dyDescent="0.3">
      <c r="A1191">
        <v>2022</v>
      </c>
      <c r="B1191" t="s">
        <v>59</v>
      </c>
      <c r="C1191" t="s">
        <v>37</v>
      </c>
      <c r="D1191" s="1">
        <v>2548</v>
      </c>
      <c r="E1191" s="1">
        <v>28067</v>
      </c>
      <c r="F1191" s="2">
        <v>61977</v>
      </c>
    </row>
    <row r="1192" spans="1:6" x14ac:dyDescent="0.3">
      <c r="A1192">
        <v>2022</v>
      </c>
      <c r="B1192" t="s">
        <v>59</v>
      </c>
      <c r="C1192" t="s">
        <v>38</v>
      </c>
      <c r="D1192">
        <v>561</v>
      </c>
      <c r="E1192" s="1">
        <v>5589</v>
      </c>
      <c r="F1192" s="2">
        <v>49334</v>
      </c>
    </row>
    <row r="1193" spans="1:6" x14ac:dyDescent="0.3">
      <c r="A1193">
        <v>2022</v>
      </c>
      <c r="B1193" t="s">
        <v>59</v>
      </c>
      <c r="C1193" t="s">
        <v>39</v>
      </c>
      <c r="D1193" s="1">
        <v>3519</v>
      </c>
      <c r="E1193" s="1">
        <v>44851</v>
      </c>
      <c r="F1193" s="2">
        <v>73821</v>
      </c>
    </row>
    <row r="1194" spans="1:6" x14ac:dyDescent="0.3">
      <c r="A1194">
        <v>2022</v>
      </c>
      <c r="B1194" t="s">
        <v>59</v>
      </c>
      <c r="C1194" t="s">
        <v>40</v>
      </c>
      <c r="D1194" s="1">
        <v>9828</v>
      </c>
      <c r="E1194" s="1">
        <v>203822</v>
      </c>
      <c r="F1194" s="2">
        <v>87085</v>
      </c>
    </row>
    <row r="1195" spans="1:6" x14ac:dyDescent="0.3">
      <c r="A1195">
        <v>2022</v>
      </c>
      <c r="B1195" t="s">
        <v>59</v>
      </c>
      <c r="C1195" t="s">
        <v>41</v>
      </c>
      <c r="D1195" s="1">
        <v>2489</v>
      </c>
      <c r="E1195" s="1">
        <v>36783</v>
      </c>
      <c r="F1195" s="2">
        <v>78404</v>
      </c>
    </row>
    <row r="1196" spans="1:6" x14ac:dyDescent="0.3">
      <c r="A1196">
        <v>2022</v>
      </c>
      <c r="B1196" t="s">
        <v>59</v>
      </c>
      <c r="C1196" t="s">
        <v>42</v>
      </c>
      <c r="D1196">
        <v>505</v>
      </c>
      <c r="E1196" s="1">
        <v>4280</v>
      </c>
      <c r="F1196" s="2">
        <v>59800</v>
      </c>
    </row>
    <row r="1197" spans="1:6" x14ac:dyDescent="0.3">
      <c r="A1197">
        <v>2022</v>
      </c>
      <c r="B1197" t="s">
        <v>59</v>
      </c>
      <c r="C1197" t="s">
        <v>43</v>
      </c>
      <c r="D1197" s="1">
        <v>4379</v>
      </c>
      <c r="E1197" s="1">
        <v>66998</v>
      </c>
      <c r="F1197" s="2">
        <v>100731</v>
      </c>
    </row>
    <row r="1198" spans="1:6" x14ac:dyDescent="0.3">
      <c r="A1198">
        <v>2022</v>
      </c>
      <c r="B1198" t="s">
        <v>59</v>
      </c>
      <c r="C1198" t="s">
        <v>44</v>
      </c>
      <c r="D1198" s="1">
        <v>4629</v>
      </c>
      <c r="E1198" s="1">
        <v>133126</v>
      </c>
      <c r="F1198" s="2">
        <v>194631</v>
      </c>
    </row>
    <row r="1199" spans="1:6" x14ac:dyDescent="0.3">
      <c r="A1199">
        <v>2022</v>
      </c>
      <c r="B1199" t="s">
        <v>59</v>
      </c>
      <c r="C1199" t="s">
        <v>45</v>
      </c>
      <c r="D1199">
        <v>789</v>
      </c>
      <c r="E1199" s="1">
        <v>8288</v>
      </c>
      <c r="F1199" s="2">
        <v>52508</v>
      </c>
    </row>
    <row r="1200" spans="1:6" x14ac:dyDescent="0.3">
      <c r="A1200">
        <v>2022</v>
      </c>
      <c r="B1200" t="s">
        <v>59</v>
      </c>
      <c r="C1200" t="s">
        <v>46</v>
      </c>
      <c r="D1200" s="1">
        <v>2298</v>
      </c>
      <c r="E1200" s="1">
        <v>47152</v>
      </c>
      <c r="F1200" s="2">
        <v>75414</v>
      </c>
    </row>
    <row r="1201" spans="1:6" x14ac:dyDescent="0.3">
      <c r="A1201">
        <v>2022</v>
      </c>
      <c r="B1201" t="s">
        <v>59</v>
      </c>
      <c r="C1201" t="s">
        <v>47</v>
      </c>
      <c r="D1201">
        <v>398</v>
      </c>
      <c r="E1201" s="1">
        <v>3554</v>
      </c>
      <c r="F1201" s="2">
        <v>47401</v>
      </c>
    </row>
    <row r="1202" spans="1:6" x14ac:dyDescent="0.3">
      <c r="A1202">
        <v>2022</v>
      </c>
      <c r="B1202" t="s">
        <v>60</v>
      </c>
      <c r="C1202" t="s">
        <v>0</v>
      </c>
      <c r="D1202" s="1">
        <v>13364</v>
      </c>
      <c r="E1202" s="1">
        <v>94561</v>
      </c>
      <c r="F1202" s="2">
        <v>69240</v>
      </c>
    </row>
    <row r="1203" spans="1:6" x14ac:dyDescent="0.3">
      <c r="A1203">
        <v>2022</v>
      </c>
      <c r="B1203" t="s">
        <v>60</v>
      </c>
      <c r="C1203" t="s">
        <v>1</v>
      </c>
      <c r="D1203" s="1">
        <v>17978</v>
      </c>
      <c r="E1203" s="1">
        <v>214637</v>
      </c>
      <c r="F1203" s="2">
        <v>70877</v>
      </c>
    </row>
    <row r="1204" spans="1:6" x14ac:dyDescent="0.3">
      <c r="A1204">
        <v>2022</v>
      </c>
      <c r="B1204" t="s">
        <v>60</v>
      </c>
      <c r="C1204" t="s">
        <v>2</v>
      </c>
      <c r="D1204" s="1">
        <v>8418</v>
      </c>
      <c r="E1204" s="1">
        <v>50647</v>
      </c>
      <c r="F1204" s="2">
        <v>58119</v>
      </c>
    </row>
    <row r="1205" spans="1:6" x14ac:dyDescent="0.3">
      <c r="A1205">
        <v>2022</v>
      </c>
      <c r="B1205" t="s">
        <v>60</v>
      </c>
      <c r="C1205" t="s">
        <v>3</v>
      </c>
      <c r="D1205" s="1">
        <v>106953</v>
      </c>
      <c r="E1205" s="1">
        <v>835896</v>
      </c>
      <c r="F1205" s="2">
        <v>107228</v>
      </c>
    </row>
    <row r="1206" spans="1:6" x14ac:dyDescent="0.3">
      <c r="A1206">
        <v>2022</v>
      </c>
      <c r="B1206" t="s">
        <v>60</v>
      </c>
      <c r="C1206" t="s">
        <v>4</v>
      </c>
      <c r="D1206" s="1">
        <v>23326</v>
      </c>
      <c r="E1206" s="1">
        <v>164801</v>
      </c>
      <c r="F1206" s="2">
        <v>84615</v>
      </c>
    </row>
    <row r="1207" spans="1:6" x14ac:dyDescent="0.3">
      <c r="A1207">
        <v>2022</v>
      </c>
      <c r="B1207" t="s">
        <v>60</v>
      </c>
      <c r="C1207" t="s">
        <v>5</v>
      </c>
      <c r="D1207" s="1">
        <v>10879</v>
      </c>
      <c r="E1207" s="1">
        <v>123655</v>
      </c>
      <c r="F1207" s="2">
        <v>155433</v>
      </c>
    </row>
    <row r="1208" spans="1:6" x14ac:dyDescent="0.3">
      <c r="A1208">
        <v>2022</v>
      </c>
      <c r="B1208" t="s">
        <v>60</v>
      </c>
      <c r="C1208" t="s">
        <v>6</v>
      </c>
      <c r="D1208" s="1">
        <v>2859</v>
      </c>
      <c r="E1208" s="1">
        <v>47609</v>
      </c>
      <c r="F1208" s="2">
        <v>95574</v>
      </c>
    </row>
    <row r="1209" spans="1:6" x14ac:dyDescent="0.3">
      <c r="A1209">
        <v>2022</v>
      </c>
      <c r="B1209" t="s">
        <v>60</v>
      </c>
      <c r="C1209" t="s">
        <v>7</v>
      </c>
      <c r="D1209" s="1">
        <v>73412</v>
      </c>
      <c r="E1209" s="1">
        <v>570645</v>
      </c>
      <c r="F1209" s="2">
        <v>75337</v>
      </c>
    </row>
    <row r="1210" spans="1:6" x14ac:dyDescent="0.3">
      <c r="A1210">
        <v>2022</v>
      </c>
      <c r="B1210" t="s">
        <v>60</v>
      </c>
      <c r="C1210" t="s">
        <v>8</v>
      </c>
      <c r="D1210" s="1">
        <v>26225</v>
      </c>
      <c r="E1210" s="1">
        <v>237900</v>
      </c>
      <c r="F1210" s="2">
        <v>84587</v>
      </c>
    </row>
    <row r="1211" spans="1:6" x14ac:dyDescent="0.3">
      <c r="A1211">
        <v>2022</v>
      </c>
      <c r="B1211" t="s">
        <v>60</v>
      </c>
      <c r="C1211" t="s">
        <v>9</v>
      </c>
      <c r="D1211" s="1">
        <v>5824</v>
      </c>
      <c r="E1211" s="1">
        <v>32493</v>
      </c>
      <c r="F1211" s="2">
        <v>56024</v>
      </c>
    </row>
    <row r="1212" spans="1:6" x14ac:dyDescent="0.3">
      <c r="A1212">
        <v>2022</v>
      </c>
      <c r="B1212" t="s">
        <v>60</v>
      </c>
      <c r="C1212" t="s">
        <v>10</v>
      </c>
      <c r="D1212" s="1">
        <v>32448</v>
      </c>
      <c r="E1212" s="1">
        <v>373685</v>
      </c>
      <c r="F1212" s="2">
        <v>109598</v>
      </c>
    </row>
    <row r="1213" spans="1:6" x14ac:dyDescent="0.3">
      <c r="A1213">
        <v>2022</v>
      </c>
      <c r="B1213" t="s">
        <v>60</v>
      </c>
      <c r="C1213" t="s">
        <v>11</v>
      </c>
      <c r="D1213" s="1">
        <v>16542</v>
      </c>
      <c r="E1213" s="1">
        <v>133603</v>
      </c>
      <c r="F1213" s="2">
        <v>65167</v>
      </c>
    </row>
    <row r="1214" spans="1:6" x14ac:dyDescent="0.3">
      <c r="A1214">
        <v>2022</v>
      </c>
      <c r="B1214" t="s">
        <v>60</v>
      </c>
      <c r="C1214" t="s">
        <v>12</v>
      </c>
      <c r="D1214" s="1">
        <v>10213</v>
      </c>
      <c r="E1214" s="1">
        <v>109030</v>
      </c>
      <c r="F1214" s="2">
        <v>73894</v>
      </c>
    </row>
    <row r="1215" spans="1:6" x14ac:dyDescent="0.3">
      <c r="A1215">
        <v>2022</v>
      </c>
      <c r="B1215" t="s">
        <v>60</v>
      </c>
      <c r="C1215" t="s">
        <v>13</v>
      </c>
      <c r="D1215" s="1">
        <v>8870</v>
      </c>
      <c r="E1215" s="1">
        <v>73500</v>
      </c>
      <c r="F1215" s="2">
        <v>67710</v>
      </c>
    </row>
    <row r="1216" spans="1:6" x14ac:dyDescent="0.3">
      <c r="A1216">
        <v>2022</v>
      </c>
      <c r="B1216" t="s">
        <v>60</v>
      </c>
      <c r="C1216" t="s">
        <v>14</v>
      </c>
      <c r="D1216" s="1">
        <v>11035</v>
      </c>
      <c r="E1216" s="1">
        <v>92881</v>
      </c>
      <c r="F1216" s="2">
        <v>67733</v>
      </c>
    </row>
    <row r="1217" spans="1:6" x14ac:dyDescent="0.3">
      <c r="A1217">
        <v>2022</v>
      </c>
      <c r="B1217" t="s">
        <v>60</v>
      </c>
      <c r="C1217" t="s">
        <v>15</v>
      </c>
      <c r="D1217" s="1">
        <v>13754</v>
      </c>
      <c r="E1217" s="1">
        <v>85071</v>
      </c>
      <c r="F1217" s="2">
        <v>62731</v>
      </c>
    </row>
    <row r="1218" spans="1:6" x14ac:dyDescent="0.3">
      <c r="A1218">
        <v>2022</v>
      </c>
      <c r="B1218" t="s">
        <v>60</v>
      </c>
      <c r="C1218" t="s">
        <v>16</v>
      </c>
      <c r="D1218" s="1">
        <v>3804</v>
      </c>
      <c r="E1218" s="1">
        <v>29811</v>
      </c>
      <c r="F1218" s="2">
        <v>68174</v>
      </c>
    </row>
    <row r="1219" spans="1:6" x14ac:dyDescent="0.3">
      <c r="A1219">
        <v>2022</v>
      </c>
      <c r="B1219" t="s">
        <v>60</v>
      </c>
      <c r="C1219" t="s">
        <v>17</v>
      </c>
      <c r="D1219" s="1">
        <v>15277</v>
      </c>
      <c r="E1219" s="1">
        <v>138261</v>
      </c>
      <c r="F1219" s="2">
        <v>94201</v>
      </c>
    </row>
    <row r="1220" spans="1:6" x14ac:dyDescent="0.3">
      <c r="A1220">
        <v>2022</v>
      </c>
      <c r="B1220" t="s">
        <v>60</v>
      </c>
      <c r="C1220" t="s">
        <v>18</v>
      </c>
      <c r="D1220" s="1">
        <v>17504</v>
      </c>
      <c r="E1220" s="1">
        <v>217151</v>
      </c>
      <c r="F1220" s="2">
        <v>144514</v>
      </c>
    </row>
    <row r="1221" spans="1:6" x14ac:dyDescent="0.3">
      <c r="A1221">
        <v>2022</v>
      </c>
      <c r="B1221" t="s">
        <v>60</v>
      </c>
      <c r="C1221" t="s">
        <v>19</v>
      </c>
      <c r="D1221" s="1">
        <v>19082</v>
      </c>
      <c r="E1221" s="1">
        <v>203261</v>
      </c>
      <c r="F1221" s="2">
        <v>71568</v>
      </c>
    </row>
    <row r="1222" spans="1:6" x14ac:dyDescent="0.3">
      <c r="A1222">
        <v>2022</v>
      </c>
      <c r="B1222" t="s">
        <v>60</v>
      </c>
      <c r="C1222" t="s">
        <v>20</v>
      </c>
      <c r="D1222" s="1">
        <v>15877</v>
      </c>
      <c r="E1222" s="1">
        <v>178309</v>
      </c>
      <c r="F1222" s="2">
        <v>95604</v>
      </c>
    </row>
    <row r="1223" spans="1:6" x14ac:dyDescent="0.3">
      <c r="A1223">
        <v>2022</v>
      </c>
      <c r="B1223" t="s">
        <v>60</v>
      </c>
      <c r="C1223" t="s">
        <v>21</v>
      </c>
      <c r="D1223" s="1">
        <v>7959</v>
      </c>
      <c r="E1223" s="1">
        <v>42911</v>
      </c>
      <c r="F1223" s="2">
        <v>53281</v>
      </c>
    </row>
    <row r="1224" spans="1:6" x14ac:dyDescent="0.3">
      <c r="A1224">
        <v>2022</v>
      </c>
      <c r="B1224" t="s">
        <v>60</v>
      </c>
      <c r="C1224" t="s">
        <v>22</v>
      </c>
      <c r="D1224" s="1">
        <v>17251</v>
      </c>
      <c r="E1224" s="1">
        <v>162755</v>
      </c>
      <c r="F1224" s="2">
        <v>72947</v>
      </c>
    </row>
    <row r="1225" spans="1:6" x14ac:dyDescent="0.3">
      <c r="A1225">
        <v>2022</v>
      </c>
      <c r="B1225" t="s">
        <v>60</v>
      </c>
      <c r="C1225" t="s">
        <v>23</v>
      </c>
      <c r="D1225" s="1">
        <v>4297</v>
      </c>
      <c r="E1225" s="1">
        <v>21204</v>
      </c>
      <c r="F1225" s="2">
        <v>59315</v>
      </c>
    </row>
    <row r="1226" spans="1:6" x14ac:dyDescent="0.3">
      <c r="A1226">
        <v>2022</v>
      </c>
      <c r="B1226" t="s">
        <v>60</v>
      </c>
      <c r="C1226" t="s">
        <v>24</v>
      </c>
      <c r="D1226" s="1">
        <v>6683</v>
      </c>
      <c r="E1226" s="1">
        <v>66245</v>
      </c>
      <c r="F1226" s="2">
        <v>66817</v>
      </c>
    </row>
    <row r="1227" spans="1:6" x14ac:dyDescent="0.3">
      <c r="A1227">
        <v>2022</v>
      </c>
      <c r="B1227" t="s">
        <v>60</v>
      </c>
      <c r="C1227" t="s">
        <v>25</v>
      </c>
      <c r="D1227" s="1">
        <v>9082</v>
      </c>
      <c r="E1227" s="1">
        <v>63303</v>
      </c>
      <c r="F1227" s="2">
        <v>66612</v>
      </c>
    </row>
    <row r="1228" spans="1:6" x14ac:dyDescent="0.3">
      <c r="A1228">
        <v>2022</v>
      </c>
      <c r="B1228" t="s">
        <v>60</v>
      </c>
      <c r="C1228" t="s">
        <v>26</v>
      </c>
      <c r="D1228" s="1">
        <v>3838</v>
      </c>
      <c r="E1228" s="1">
        <v>33486</v>
      </c>
      <c r="F1228" s="2">
        <v>94889</v>
      </c>
    </row>
    <row r="1229" spans="1:6" x14ac:dyDescent="0.3">
      <c r="A1229">
        <v>2022</v>
      </c>
      <c r="B1229" t="s">
        <v>60</v>
      </c>
      <c r="C1229" t="s">
        <v>27</v>
      </c>
      <c r="D1229" s="1">
        <v>19963</v>
      </c>
      <c r="E1229" s="1">
        <v>242994</v>
      </c>
      <c r="F1229" s="2">
        <v>115066</v>
      </c>
    </row>
    <row r="1230" spans="1:6" x14ac:dyDescent="0.3">
      <c r="A1230">
        <v>2022</v>
      </c>
      <c r="B1230" t="s">
        <v>60</v>
      </c>
      <c r="C1230" t="s">
        <v>28</v>
      </c>
      <c r="D1230" s="1">
        <v>5293</v>
      </c>
      <c r="E1230" s="1">
        <v>32955</v>
      </c>
      <c r="F1230" s="2">
        <v>56048</v>
      </c>
    </row>
    <row r="1231" spans="1:6" x14ac:dyDescent="0.3">
      <c r="A1231">
        <v>2022</v>
      </c>
      <c r="B1231" t="s">
        <v>60</v>
      </c>
      <c r="C1231" t="s">
        <v>29</v>
      </c>
      <c r="D1231" s="1">
        <v>64317</v>
      </c>
      <c r="E1231" s="1">
        <v>714540</v>
      </c>
      <c r="F1231" s="2">
        <v>186871</v>
      </c>
    </row>
    <row r="1232" spans="1:6" x14ac:dyDescent="0.3">
      <c r="A1232">
        <v>2022</v>
      </c>
      <c r="B1232" t="s">
        <v>60</v>
      </c>
      <c r="C1232" t="s">
        <v>30</v>
      </c>
      <c r="D1232" s="1">
        <v>27776</v>
      </c>
      <c r="E1232" s="1">
        <v>233277</v>
      </c>
      <c r="F1232" s="2">
        <v>87311</v>
      </c>
    </row>
    <row r="1233" spans="1:6" x14ac:dyDescent="0.3">
      <c r="A1233">
        <v>2022</v>
      </c>
      <c r="B1233" t="s">
        <v>60</v>
      </c>
      <c r="C1233" t="s">
        <v>31</v>
      </c>
      <c r="D1233" s="1">
        <v>2995</v>
      </c>
      <c r="E1233" s="1">
        <v>23145</v>
      </c>
      <c r="F1233" s="2">
        <v>63251</v>
      </c>
    </row>
    <row r="1234" spans="1:6" x14ac:dyDescent="0.3">
      <c r="A1234">
        <v>2022</v>
      </c>
      <c r="B1234" t="s">
        <v>60</v>
      </c>
      <c r="C1234" t="s">
        <v>32</v>
      </c>
      <c r="D1234" s="1">
        <v>28783</v>
      </c>
      <c r="E1234" s="1">
        <v>293549</v>
      </c>
      <c r="F1234" s="2">
        <v>72736</v>
      </c>
    </row>
    <row r="1235" spans="1:6" x14ac:dyDescent="0.3">
      <c r="A1235">
        <v>2022</v>
      </c>
      <c r="B1235" t="s">
        <v>60</v>
      </c>
      <c r="C1235" t="s">
        <v>33</v>
      </c>
      <c r="D1235" s="1">
        <v>11458</v>
      </c>
      <c r="E1235" s="1">
        <v>77052</v>
      </c>
      <c r="F1235" s="2">
        <v>58044</v>
      </c>
    </row>
    <row r="1236" spans="1:6" x14ac:dyDescent="0.3">
      <c r="A1236">
        <v>2022</v>
      </c>
      <c r="B1236" t="s">
        <v>60</v>
      </c>
      <c r="C1236" t="s">
        <v>34</v>
      </c>
      <c r="D1236" s="1">
        <v>13030</v>
      </c>
      <c r="E1236" s="1">
        <v>84865</v>
      </c>
      <c r="F1236" s="2">
        <v>69649</v>
      </c>
    </row>
    <row r="1237" spans="1:6" x14ac:dyDescent="0.3">
      <c r="A1237">
        <v>2022</v>
      </c>
      <c r="B1237" t="s">
        <v>60</v>
      </c>
      <c r="C1237" t="s">
        <v>35</v>
      </c>
      <c r="D1237" s="1">
        <v>28823</v>
      </c>
      <c r="E1237" s="1">
        <v>325130</v>
      </c>
      <c r="F1237" s="2">
        <v>88831</v>
      </c>
    </row>
    <row r="1238" spans="1:6" x14ac:dyDescent="0.3">
      <c r="A1238">
        <v>2022</v>
      </c>
      <c r="B1238" t="s">
        <v>60</v>
      </c>
      <c r="C1238" t="s">
        <v>36</v>
      </c>
      <c r="D1238" s="1">
        <v>2869</v>
      </c>
      <c r="E1238" s="1">
        <v>32305</v>
      </c>
      <c r="F1238" s="2">
        <v>88061</v>
      </c>
    </row>
    <row r="1239" spans="1:6" x14ac:dyDescent="0.3">
      <c r="A1239">
        <v>2022</v>
      </c>
      <c r="B1239" t="s">
        <v>60</v>
      </c>
      <c r="C1239" t="s">
        <v>37</v>
      </c>
      <c r="D1239" s="1">
        <v>13166</v>
      </c>
      <c r="E1239" s="1">
        <v>100794</v>
      </c>
      <c r="F1239" s="2">
        <v>61713</v>
      </c>
    </row>
    <row r="1240" spans="1:6" x14ac:dyDescent="0.3">
      <c r="A1240">
        <v>2022</v>
      </c>
      <c r="B1240" t="s">
        <v>60</v>
      </c>
      <c r="C1240" t="s">
        <v>38</v>
      </c>
      <c r="D1240" s="1">
        <v>3259</v>
      </c>
      <c r="E1240" s="1">
        <v>28739</v>
      </c>
      <c r="F1240" s="2">
        <v>60160</v>
      </c>
    </row>
    <row r="1241" spans="1:6" x14ac:dyDescent="0.3">
      <c r="A1241">
        <v>2022</v>
      </c>
      <c r="B1241" t="s">
        <v>60</v>
      </c>
      <c r="C1241" t="s">
        <v>39</v>
      </c>
      <c r="D1241" s="1">
        <v>15698</v>
      </c>
      <c r="E1241" s="1">
        <v>150833</v>
      </c>
      <c r="F1241" s="2">
        <v>76718</v>
      </c>
    </row>
    <row r="1242" spans="1:6" x14ac:dyDescent="0.3">
      <c r="A1242">
        <v>2022</v>
      </c>
      <c r="B1242" t="s">
        <v>60</v>
      </c>
      <c r="C1242" t="s">
        <v>40</v>
      </c>
      <c r="D1242" s="1">
        <v>73679</v>
      </c>
      <c r="E1242" s="1">
        <v>756318</v>
      </c>
      <c r="F1242" s="2">
        <v>83356</v>
      </c>
    </row>
    <row r="1243" spans="1:6" x14ac:dyDescent="0.3">
      <c r="A1243">
        <v>2022</v>
      </c>
      <c r="B1243" t="s">
        <v>60</v>
      </c>
      <c r="C1243" t="s">
        <v>41</v>
      </c>
      <c r="D1243" s="1">
        <v>11520</v>
      </c>
      <c r="E1243" s="1">
        <v>87530</v>
      </c>
      <c r="F1243" s="2">
        <v>67933</v>
      </c>
    </row>
    <row r="1244" spans="1:6" x14ac:dyDescent="0.3">
      <c r="A1244">
        <v>2022</v>
      </c>
      <c r="B1244" t="s">
        <v>60</v>
      </c>
      <c r="C1244" t="s">
        <v>42</v>
      </c>
      <c r="D1244" s="1">
        <v>1694</v>
      </c>
      <c r="E1244" s="1">
        <v>11814</v>
      </c>
      <c r="F1244" s="2">
        <v>72078</v>
      </c>
    </row>
    <row r="1245" spans="1:6" x14ac:dyDescent="0.3">
      <c r="A1245">
        <v>2022</v>
      </c>
      <c r="B1245" t="s">
        <v>60</v>
      </c>
      <c r="C1245" t="s">
        <v>43</v>
      </c>
      <c r="D1245" s="1">
        <v>21938</v>
      </c>
      <c r="E1245" s="1">
        <v>194731</v>
      </c>
      <c r="F1245" s="2">
        <v>85723</v>
      </c>
    </row>
    <row r="1246" spans="1:6" x14ac:dyDescent="0.3">
      <c r="A1246">
        <v>2022</v>
      </c>
      <c r="B1246" t="s">
        <v>60</v>
      </c>
      <c r="C1246" t="s">
        <v>44</v>
      </c>
      <c r="D1246" s="1">
        <v>17577</v>
      </c>
      <c r="E1246" s="1">
        <v>147871</v>
      </c>
      <c r="F1246" s="2">
        <v>80466</v>
      </c>
    </row>
    <row r="1247" spans="1:6" x14ac:dyDescent="0.3">
      <c r="A1247">
        <v>2022</v>
      </c>
      <c r="B1247" t="s">
        <v>60</v>
      </c>
      <c r="C1247" t="s">
        <v>45</v>
      </c>
      <c r="D1247" s="1">
        <v>4029</v>
      </c>
      <c r="E1247" s="1">
        <v>24510</v>
      </c>
      <c r="F1247" s="2">
        <v>53206</v>
      </c>
    </row>
    <row r="1248" spans="1:6" x14ac:dyDescent="0.3">
      <c r="A1248">
        <v>2022</v>
      </c>
      <c r="B1248" t="s">
        <v>60</v>
      </c>
      <c r="C1248" t="s">
        <v>46</v>
      </c>
      <c r="D1248" s="1">
        <v>13917</v>
      </c>
      <c r="E1248" s="1">
        <v>148837</v>
      </c>
      <c r="F1248" s="2">
        <v>71561</v>
      </c>
    </row>
    <row r="1249" spans="1:6" x14ac:dyDescent="0.3">
      <c r="A1249">
        <v>2022</v>
      </c>
      <c r="B1249" t="s">
        <v>60</v>
      </c>
      <c r="C1249" t="s">
        <v>47</v>
      </c>
      <c r="D1249" s="1">
        <v>2283</v>
      </c>
      <c r="E1249" s="1">
        <v>11124</v>
      </c>
      <c r="F1249" s="2">
        <v>57486</v>
      </c>
    </row>
    <row r="1250" spans="1:6" x14ac:dyDescent="0.3">
      <c r="A1250">
        <v>2022</v>
      </c>
      <c r="B1250" t="s">
        <v>61</v>
      </c>
      <c r="C1250" t="s">
        <v>0</v>
      </c>
      <c r="D1250" s="1">
        <v>21888</v>
      </c>
      <c r="E1250" s="1">
        <v>245234</v>
      </c>
      <c r="F1250" s="2">
        <v>55653</v>
      </c>
    </row>
    <row r="1251" spans="1:6" x14ac:dyDescent="0.3">
      <c r="A1251">
        <v>2022</v>
      </c>
      <c r="B1251" t="s">
        <v>61</v>
      </c>
      <c r="C1251" t="s">
        <v>1</v>
      </c>
      <c r="D1251" s="1">
        <v>35993</v>
      </c>
      <c r="E1251" s="1">
        <v>430516</v>
      </c>
      <c r="F1251" s="2">
        <v>56745</v>
      </c>
    </row>
    <row r="1252" spans="1:6" x14ac:dyDescent="0.3">
      <c r="A1252">
        <v>2022</v>
      </c>
      <c r="B1252" t="s">
        <v>61</v>
      </c>
      <c r="C1252" t="s">
        <v>2</v>
      </c>
      <c r="D1252" s="1">
        <v>14308</v>
      </c>
      <c r="E1252" s="1">
        <v>146700</v>
      </c>
      <c r="F1252" s="2">
        <v>60316</v>
      </c>
    </row>
    <row r="1253" spans="1:6" x14ac:dyDescent="0.3">
      <c r="A1253">
        <v>2022</v>
      </c>
      <c r="B1253" t="s">
        <v>61</v>
      </c>
      <c r="C1253" t="s">
        <v>3</v>
      </c>
      <c r="D1253" s="1">
        <v>208425</v>
      </c>
      <c r="E1253" s="1">
        <v>2667839</v>
      </c>
      <c r="F1253" s="2">
        <v>91070</v>
      </c>
    </row>
    <row r="1254" spans="1:6" x14ac:dyDescent="0.3">
      <c r="A1254">
        <v>2022</v>
      </c>
      <c r="B1254" t="s">
        <v>61</v>
      </c>
      <c r="C1254" t="s">
        <v>4</v>
      </c>
      <c r="D1254" s="1">
        <v>52525</v>
      </c>
      <c r="E1254" s="1">
        <v>423946</v>
      </c>
      <c r="F1254" s="2">
        <v>81401</v>
      </c>
    </row>
    <row r="1255" spans="1:6" x14ac:dyDescent="0.3">
      <c r="A1255">
        <v>2022</v>
      </c>
      <c r="B1255" t="s">
        <v>61</v>
      </c>
      <c r="C1255" t="s">
        <v>5</v>
      </c>
      <c r="D1255" s="1">
        <v>23279</v>
      </c>
      <c r="E1255" s="1">
        <v>221029</v>
      </c>
      <c r="F1255" s="2">
        <v>87958</v>
      </c>
    </row>
    <row r="1256" spans="1:6" x14ac:dyDescent="0.3">
      <c r="A1256">
        <v>2022</v>
      </c>
      <c r="B1256" t="s">
        <v>61</v>
      </c>
      <c r="C1256" t="s">
        <v>6</v>
      </c>
      <c r="D1256" s="1">
        <v>8956</v>
      </c>
      <c r="E1256" s="1">
        <v>63405</v>
      </c>
      <c r="F1256" s="2">
        <v>80066</v>
      </c>
    </row>
    <row r="1257" spans="1:6" x14ac:dyDescent="0.3">
      <c r="A1257">
        <v>2022</v>
      </c>
      <c r="B1257" t="s">
        <v>61</v>
      </c>
      <c r="C1257" t="s">
        <v>7</v>
      </c>
      <c r="D1257" s="1">
        <v>161890</v>
      </c>
      <c r="E1257" s="1">
        <v>1365136</v>
      </c>
      <c r="F1257" s="2">
        <v>60914</v>
      </c>
    </row>
    <row r="1258" spans="1:6" x14ac:dyDescent="0.3">
      <c r="A1258">
        <v>2022</v>
      </c>
      <c r="B1258" t="s">
        <v>61</v>
      </c>
      <c r="C1258" t="s">
        <v>8</v>
      </c>
      <c r="D1258" s="1">
        <v>54714</v>
      </c>
      <c r="E1258" s="1">
        <v>687321</v>
      </c>
      <c r="F1258" s="2">
        <v>66989</v>
      </c>
    </row>
    <row r="1259" spans="1:6" x14ac:dyDescent="0.3">
      <c r="A1259">
        <v>2022</v>
      </c>
      <c r="B1259" t="s">
        <v>61</v>
      </c>
      <c r="C1259" t="s">
        <v>9</v>
      </c>
      <c r="D1259" s="1">
        <v>11562</v>
      </c>
      <c r="E1259" s="1">
        <v>91631</v>
      </c>
      <c r="F1259" s="2">
        <v>51695</v>
      </c>
    </row>
    <row r="1260" spans="1:6" x14ac:dyDescent="0.3">
      <c r="A1260">
        <v>2022</v>
      </c>
      <c r="B1260" t="s">
        <v>61</v>
      </c>
      <c r="C1260" t="s">
        <v>10</v>
      </c>
      <c r="D1260" s="1">
        <v>74587</v>
      </c>
      <c r="E1260" s="1">
        <v>948766</v>
      </c>
      <c r="F1260" s="2">
        <v>76586</v>
      </c>
    </row>
    <row r="1261" spans="1:6" x14ac:dyDescent="0.3">
      <c r="A1261">
        <v>2022</v>
      </c>
      <c r="B1261" t="s">
        <v>61</v>
      </c>
      <c r="C1261" t="s">
        <v>11</v>
      </c>
      <c r="D1261" s="1">
        <v>29755</v>
      </c>
      <c r="E1261" s="1">
        <v>342835</v>
      </c>
      <c r="F1261" s="2">
        <v>52468</v>
      </c>
    </row>
    <row r="1262" spans="1:6" x14ac:dyDescent="0.3">
      <c r="A1262">
        <v>2022</v>
      </c>
      <c r="B1262" t="s">
        <v>61</v>
      </c>
      <c r="C1262" t="s">
        <v>12</v>
      </c>
      <c r="D1262" s="1">
        <v>15839</v>
      </c>
      <c r="E1262" s="1">
        <v>140535</v>
      </c>
      <c r="F1262" s="2">
        <v>54071</v>
      </c>
    </row>
    <row r="1263" spans="1:6" x14ac:dyDescent="0.3">
      <c r="A1263">
        <v>2022</v>
      </c>
      <c r="B1263" t="s">
        <v>61</v>
      </c>
      <c r="C1263" t="s">
        <v>13</v>
      </c>
      <c r="D1263" s="1">
        <v>16731</v>
      </c>
      <c r="E1263" s="1">
        <v>179413</v>
      </c>
      <c r="F1263" s="2">
        <v>61288</v>
      </c>
    </row>
    <row r="1264" spans="1:6" x14ac:dyDescent="0.3">
      <c r="A1264">
        <v>2022</v>
      </c>
      <c r="B1264" t="s">
        <v>61</v>
      </c>
      <c r="C1264" t="s">
        <v>14</v>
      </c>
      <c r="D1264" s="1">
        <v>20542</v>
      </c>
      <c r="E1264" s="1">
        <v>217081</v>
      </c>
      <c r="F1264" s="2">
        <v>50087</v>
      </c>
    </row>
    <row r="1265" spans="1:6" x14ac:dyDescent="0.3">
      <c r="A1265">
        <v>2022</v>
      </c>
      <c r="B1265" t="s">
        <v>61</v>
      </c>
      <c r="C1265" t="s">
        <v>15</v>
      </c>
      <c r="D1265" s="1">
        <v>24537</v>
      </c>
      <c r="E1265" s="1">
        <v>213171</v>
      </c>
      <c r="F1265" s="2">
        <v>56446</v>
      </c>
    </row>
    <row r="1266" spans="1:6" x14ac:dyDescent="0.3">
      <c r="A1266">
        <v>2022</v>
      </c>
      <c r="B1266" t="s">
        <v>61</v>
      </c>
      <c r="C1266" t="s">
        <v>16</v>
      </c>
      <c r="D1266" s="1">
        <v>9940</v>
      </c>
      <c r="E1266" s="1">
        <v>69285</v>
      </c>
      <c r="F1266" s="2">
        <v>57328</v>
      </c>
    </row>
    <row r="1267" spans="1:6" x14ac:dyDescent="0.3">
      <c r="A1267">
        <v>2022</v>
      </c>
      <c r="B1267" t="s">
        <v>61</v>
      </c>
      <c r="C1267" t="s">
        <v>17</v>
      </c>
      <c r="D1267" s="1">
        <v>42809</v>
      </c>
      <c r="E1267" s="1">
        <v>452753</v>
      </c>
      <c r="F1267" s="2">
        <v>79500</v>
      </c>
    </row>
    <row r="1268" spans="1:6" x14ac:dyDescent="0.3">
      <c r="A1268">
        <v>2022</v>
      </c>
      <c r="B1268" t="s">
        <v>61</v>
      </c>
      <c r="C1268" t="s">
        <v>18</v>
      </c>
      <c r="D1268" s="1">
        <v>47416</v>
      </c>
      <c r="E1268" s="1">
        <v>587518</v>
      </c>
      <c r="F1268" s="2">
        <v>107875</v>
      </c>
    </row>
    <row r="1269" spans="1:6" x14ac:dyDescent="0.3">
      <c r="A1269">
        <v>2022</v>
      </c>
      <c r="B1269" t="s">
        <v>61</v>
      </c>
      <c r="C1269" t="s">
        <v>19</v>
      </c>
      <c r="D1269" s="1">
        <v>42545</v>
      </c>
      <c r="E1269" s="1">
        <v>657930</v>
      </c>
      <c r="F1269" s="2">
        <v>69377</v>
      </c>
    </row>
    <row r="1270" spans="1:6" x14ac:dyDescent="0.3">
      <c r="A1270">
        <v>2022</v>
      </c>
      <c r="B1270" t="s">
        <v>61</v>
      </c>
      <c r="C1270" t="s">
        <v>20</v>
      </c>
      <c r="D1270" s="1">
        <v>32024</v>
      </c>
      <c r="E1270" s="1">
        <v>378493</v>
      </c>
      <c r="F1270" s="2">
        <v>82535</v>
      </c>
    </row>
    <row r="1271" spans="1:6" x14ac:dyDescent="0.3">
      <c r="A1271">
        <v>2022</v>
      </c>
      <c r="B1271" t="s">
        <v>61</v>
      </c>
      <c r="C1271" t="s">
        <v>21</v>
      </c>
      <c r="D1271" s="1">
        <v>12259</v>
      </c>
      <c r="E1271" s="1">
        <v>109842</v>
      </c>
      <c r="F1271" s="2">
        <v>42132</v>
      </c>
    </row>
    <row r="1272" spans="1:6" x14ac:dyDescent="0.3">
      <c r="A1272">
        <v>2022</v>
      </c>
      <c r="B1272" t="s">
        <v>61</v>
      </c>
      <c r="C1272" t="s">
        <v>22</v>
      </c>
      <c r="D1272" s="1">
        <v>32577</v>
      </c>
      <c r="E1272" s="1">
        <v>385727</v>
      </c>
      <c r="F1272" s="2">
        <v>66429</v>
      </c>
    </row>
    <row r="1273" spans="1:6" x14ac:dyDescent="0.3">
      <c r="A1273">
        <v>2022</v>
      </c>
      <c r="B1273" t="s">
        <v>61</v>
      </c>
      <c r="C1273" t="s">
        <v>23</v>
      </c>
      <c r="D1273" s="1">
        <v>9359</v>
      </c>
      <c r="E1273" s="1">
        <v>42410</v>
      </c>
      <c r="F1273" s="2">
        <v>52271</v>
      </c>
    </row>
    <row r="1274" spans="1:6" x14ac:dyDescent="0.3">
      <c r="A1274">
        <v>2022</v>
      </c>
      <c r="B1274" t="s">
        <v>61</v>
      </c>
      <c r="C1274" t="s">
        <v>24</v>
      </c>
      <c r="D1274" s="1">
        <v>11582</v>
      </c>
      <c r="E1274" s="1">
        <v>119167</v>
      </c>
      <c r="F1274" s="2">
        <v>58836</v>
      </c>
    </row>
    <row r="1275" spans="1:6" x14ac:dyDescent="0.3">
      <c r="A1275">
        <v>2022</v>
      </c>
      <c r="B1275" t="s">
        <v>61</v>
      </c>
      <c r="C1275" t="s">
        <v>25</v>
      </c>
      <c r="D1275" s="1">
        <v>19970</v>
      </c>
      <c r="E1275" s="1">
        <v>190736</v>
      </c>
      <c r="F1275" s="2">
        <v>61821</v>
      </c>
    </row>
    <row r="1276" spans="1:6" x14ac:dyDescent="0.3">
      <c r="A1276">
        <v>2022</v>
      </c>
      <c r="B1276" t="s">
        <v>61</v>
      </c>
      <c r="C1276" t="s">
        <v>26</v>
      </c>
      <c r="D1276" s="1">
        <v>12323</v>
      </c>
      <c r="E1276" s="1">
        <v>82831</v>
      </c>
      <c r="F1276" s="2">
        <v>77486</v>
      </c>
    </row>
    <row r="1277" spans="1:6" x14ac:dyDescent="0.3">
      <c r="A1277">
        <v>2022</v>
      </c>
      <c r="B1277" t="s">
        <v>61</v>
      </c>
      <c r="C1277" t="s">
        <v>27</v>
      </c>
      <c r="D1277" s="1">
        <v>51837</v>
      </c>
      <c r="E1277" s="1">
        <v>671419</v>
      </c>
      <c r="F1277" s="2">
        <v>90784</v>
      </c>
    </row>
    <row r="1278" spans="1:6" x14ac:dyDescent="0.3">
      <c r="A1278">
        <v>2022</v>
      </c>
      <c r="B1278" t="s">
        <v>61</v>
      </c>
      <c r="C1278" t="s">
        <v>28</v>
      </c>
      <c r="D1278" s="1">
        <v>10669</v>
      </c>
      <c r="E1278" s="1">
        <v>106930</v>
      </c>
      <c r="F1278" s="2">
        <v>61899</v>
      </c>
    </row>
    <row r="1279" spans="1:6" x14ac:dyDescent="0.3">
      <c r="A1279">
        <v>2022</v>
      </c>
      <c r="B1279" t="s">
        <v>61</v>
      </c>
      <c r="C1279" t="s">
        <v>29</v>
      </c>
      <c r="D1279" s="1">
        <v>112471</v>
      </c>
      <c r="E1279" s="1">
        <v>1339421</v>
      </c>
      <c r="F1279" s="2">
        <v>95057</v>
      </c>
    </row>
    <row r="1280" spans="1:6" x14ac:dyDescent="0.3">
      <c r="A1280">
        <v>2022</v>
      </c>
      <c r="B1280" t="s">
        <v>61</v>
      </c>
      <c r="C1280" t="s">
        <v>30</v>
      </c>
      <c r="D1280" s="1">
        <v>58892</v>
      </c>
      <c r="E1280" s="1">
        <v>635554</v>
      </c>
      <c r="F1280" s="2">
        <v>65609</v>
      </c>
    </row>
    <row r="1281" spans="1:6" x14ac:dyDescent="0.3">
      <c r="A1281">
        <v>2022</v>
      </c>
      <c r="B1281" t="s">
        <v>61</v>
      </c>
      <c r="C1281" t="s">
        <v>31</v>
      </c>
      <c r="D1281" s="1">
        <v>5130</v>
      </c>
      <c r="E1281" s="1">
        <v>34560</v>
      </c>
      <c r="F1281" s="2">
        <v>61774</v>
      </c>
    </row>
    <row r="1282" spans="1:6" x14ac:dyDescent="0.3">
      <c r="A1282">
        <v>2022</v>
      </c>
      <c r="B1282" t="s">
        <v>61</v>
      </c>
      <c r="C1282" t="s">
        <v>32</v>
      </c>
      <c r="D1282" s="1">
        <v>53280</v>
      </c>
      <c r="E1282" s="1">
        <v>729430</v>
      </c>
      <c r="F1282" s="2">
        <v>64006</v>
      </c>
    </row>
    <row r="1283" spans="1:6" x14ac:dyDescent="0.3">
      <c r="A1283">
        <v>2022</v>
      </c>
      <c r="B1283" t="s">
        <v>61</v>
      </c>
      <c r="C1283" t="s">
        <v>33</v>
      </c>
      <c r="D1283" s="1">
        <v>20594</v>
      </c>
      <c r="E1283" s="1">
        <v>191261</v>
      </c>
      <c r="F1283" s="2">
        <v>52227</v>
      </c>
    </row>
    <row r="1284" spans="1:6" x14ac:dyDescent="0.3">
      <c r="A1284">
        <v>2022</v>
      </c>
      <c r="B1284" t="s">
        <v>61</v>
      </c>
      <c r="C1284" t="s">
        <v>34</v>
      </c>
      <c r="D1284" s="1">
        <v>25462</v>
      </c>
      <c r="E1284" s="1">
        <v>248627</v>
      </c>
      <c r="F1284" s="2">
        <v>69806</v>
      </c>
    </row>
    <row r="1285" spans="1:6" x14ac:dyDescent="0.3">
      <c r="A1285">
        <v>2022</v>
      </c>
      <c r="B1285" t="s">
        <v>61</v>
      </c>
      <c r="C1285" t="s">
        <v>35</v>
      </c>
      <c r="D1285" s="1">
        <v>63415</v>
      </c>
      <c r="E1285" s="1">
        <v>806555</v>
      </c>
      <c r="F1285" s="2">
        <v>78092</v>
      </c>
    </row>
    <row r="1286" spans="1:6" x14ac:dyDescent="0.3">
      <c r="A1286">
        <v>2022</v>
      </c>
      <c r="B1286" t="s">
        <v>61</v>
      </c>
      <c r="C1286" t="s">
        <v>36</v>
      </c>
      <c r="D1286" s="1">
        <v>8651</v>
      </c>
      <c r="E1286" s="1">
        <v>68430</v>
      </c>
      <c r="F1286" s="2">
        <v>68957</v>
      </c>
    </row>
    <row r="1287" spans="1:6" x14ac:dyDescent="0.3">
      <c r="A1287">
        <v>2022</v>
      </c>
      <c r="B1287" t="s">
        <v>61</v>
      </c>
      <c r="C1287" t="s">
        <v>37</v>
      </c>
      <c r="D1287" s="1">
        <v>26993</v>
      </c>
      <c r="E1287" s="1">
        <v>293499</v>
      </c>
      <c r="F1287" s="2">
        <v>50391</v>
      </c>
    </row>
    <row r="1288" spans="1:6" x14ac:dyDescent="0.3">
      <c r="A1288">
        <v>2022</v>
      </c>
      <c r="B1288" t="s">
        <v>61</v>
      </c>
      <c r="C1288" t="s">
        <v>38</v>
      </c>
      <c r="D1288" s="1">
        <v>5205</v>
      </c>
      <c r="E1288" s="1">
        <v>32354</v>
      </c>
      <c r="F1288" s="2">
        <v>56384</v>
      </c>
    </row>
    <row r="1289" spans="1:6" x14ac:dyDescent="0.3">
      <c r="A1289">
        <v>2022</v>
      </c>
      <c r="B1289" t="s">
        <v>61</v>
      </c>
      <c r="C1289" t="s">
        <v>39</v>
      </c>
      <c r="D1289" s="1">
        <v>29519</v>
      </c>
      <c r="E1289" s="1">
        <v>417345</v>
      </c>
      <c r="F1289" s="2">
        <v>59851</v>
      </c>
    </row>
    <row r="1290" spans="1:6" x14ac:dyDescent="0.3">
      <c r="A1290">
        <v>2022</v>
      </c>
      <c r="B1290" t="s">
        <v>61</v>
      </c>
      <c r="C1290" t="s">
        <v>40</v>
      </c>
      <c r="D1290" s="1">
        <v>134025</v>
      </c>
      <c r="E1290" s="1">
        <v>1736415</v>
      </c>
      <c r="F1290" s="2">
        <v>74443</v>
      </c>
    </row>
    <row r="1291" spans="1:6" x14ac:dyDescent="0.3">
      <c r="A1291">
        <v>2022</v>
      </c>
      <c r="B1291" t="s">
        <v>61</v>
      </c>
      <c r="C1291" t="s">
        <v>41</v>
      </c>
      <c r="D1291" s="1">
        <v>23036</v>
      </c>
      <c r="E1291" s="1">
        <v>215564</v>
      </c>
      <c r="F1291" s="2">
        <v>59543</v>
      </c>
    </row>
    <row r="1292" spans="1:6" x14ac:dyDescent="0.3">
      <c r="A1292">
        <v>2022</v>
      </c>
      <c r="B1292" t="s">
        <v>61</v>
      </c>
      <c r="C1292" t="s">
        <v>42</v>
      </c>
      <c r="D1292" s="1">
        <v>5661</v>
      </c>
      <c r="E1292" s="1">
        <v>28976</v>
      </c>
      <c r="F1292" s="2">
        <v>64917</v>
      </c>
    </row>
    <row r="1293" spans="1:6" x14ac:dyDescent="0.3">
      <c r="A1293">
        <v>2022</v>
      </c>
      <c r="B1293" t="s">
        <v>61</v>
      </c>
      <c r="C1293" t="s">
        <v>43</v>
      </c>
      <c r="D1293" s="1">
        <v>58849</v>
      </c>
      <c r="E1293" s="1">
        <v>746452</v>
      </c>
      <c r="F1293" s="2">
        <v>87511</v>
      </c>
    </row>
    <row r="1294" spans="1:6" x14ac:dyDescent="0.3">
      <c r="A1294">
        <v>2022</v>
      </c>
      <c r="B1294" t="s">
        <v>61</v>
      </c>
      <c r="C1294" t="s">
        <v>44</v>
      </c>
      <c r="D1294" s="1">
        <v>40209</v>
      </c>
      <c r="E1294" s="1">
        <v>414712</v>
      </c>
      <c r="F1294" s="2">
        <v>82245</v>
      </c>
    </row>
    <row r="1295" spans="1:6" x14ac:dyDescent="0.3">
      <c r="A1295">
        <v>2022</v>
      </c>
      <c r="B1295" t="s">
        <v>61</v>
      </c>
      <c r="C1295" t="s">
        <v>45</v>
      </c>
      <c r="D1295" s="1">
        <v>8323</v>
      </c>
      <c r="E1295" s="1">
        <v>68965</v>
      </c>
      <c r="F1295" s="2">
        <v>51745</v>
      </c>
    </row>
    <row r="1296" spans="1:6" x14ac:dyDescent="0.3">
      <c r="A1296">
        <v>2022</v>
      </c>
      <c r="B1296" t="s">
        <v>61</v>
      </c>
      <c r="C1296" t="s">
        <v>46</v>
      </c>
      <c r="D1296" s="1">
        <v>25856</v>
      </c>
      <c r="E1296" s="1">
        <v>327719</v>
      </c>
      <c r="F1296" s="2">
        <v>60773</v>
      </c>
    </row>
    <row r="1297" spans="1:6" x14ac:dyDescent="0.3">
      <c r="A1297">
        <v>2022</v>
      </c>
      <c r="B1297" t="s">
        <v>61</v>
      </c>
      <c r="C1297" t="s">
        <v>47</v>
      </c>
      <c r="D1297" s="1">
        <v>4559</v>
      </c>
      <c r="E1297" s="1">
        <v>18733</v>
      </c>
      <c r="F1297" s="2">
        <v>52783</v>
      </c>
    </row>
    <row r="1298" spans="1:6" x14ac:dyDescent="0.3">
      <c r="A1298">
        <v>2022</v>
      </c>
      <c r="B1298" t="s">
        <v>62</v>
      </c>
      <c r="C1298" t="s">
        <v>0</v>
      </c>
      <c r="D1298" s="1">
        <v>12678</v>
      </c>
      <c r="E1298" s="1">
        <v>233306</v>
      </c>
      <c r="F1298" s="2">
        <v>46432</v>
      </c>
    </row>
    <row r="1299" spans="1:6" x14ac:dyDescent="0.3">
      <c r="A1299">
        <v>2022</v>
      </c>
      <c r="B1299" t="s">
        <v>62</v>
      </c>
      <c r="C1299" t="s">
        <v>1</v>
      </c>
      <c r="D1299" s="1">
        <v>18037</v>
      </c>
      <c r="E1299" s="1">
        <v>440616</v>
      </c>
      <c r="F1299" s="2">
        <v>51125</v>
      </c>
    </row>
    <row r="1300" spans="1:6" x14ac:dyDescent="0.3">
      <c r="A1300">
        <v>2022</v>
      </c>
      <c r="B1300" t="s">
        <v>62</v>
      </c>
      <c r="C1300" t="s">
        <v>2</v>
      </c>
      <c r="D1300" s="1">
        <v>15788</v>
      </c>
      <c r="E1300" s="1">
        <v>186119</v>
      </c>
      <c r="F1300" s="2">
        <v>42468</v>
      </c>
    </row>
    <row r="1301" spans="1:6" x14ac:dyDescent="0.3">
      <c r="A1301">
        <v>2022</v>
      </c>
      <c r="B1301" t="s">
        <v>62</v>
      </c>
      <c r="C1301" t="s">
        <v>3</v>
      </c>
      <c r="D1301" s="1">
        <v>618901</v>
      </c>
      <c r="E1301" s="1">
        <v>2649228</v>
      </c>
      <c r="F1301" s="2">
        <v>52187</v>
      </c>
    </row>
    <row r="1302" spans="1:6" x14ac:dyDescent="0.3">
      <c r="A1302">
        <v>2022</v>
      </c>
      <c r="B1302" t="s">
        <v>62</v>
      </c>
      <c r="C1302" t="s">
        <v>4</v>
      </c>
      <c r="D1302" s="1">
        <v>21666</v>
      </c>
      <c r="E1302" s="1">
        <v>335274</v>
      </c>
      <c r="F1302" s="2">
        <v>50156</v>
      </c>
    </row>
    <row r="1303" spans="1:6" x14ac:dyDescent="0.3">
      <c r="A1303">
        <v>2022</v>
      </c>
      <c r="B1303" t="s">
        <v>62</v>
      </c>
      <c r="C1303" t="s">
        <v>5</v>
      </c>
      <c r="D1303" s="1">
        <v>13090</v>
      </c>
      <c r="E1303" s="1">
        <v>326866</v>
      </c>
      <c r="F1303" s="2">
        <v>55369</v>
      </c>
    </row>
    <row r="1304" spans="1:6" x14ac:dyDescent="0.3">
      <c r="A1304">
        <v>2022</v>
      </c>
      <c r="B1304" t="s">
        <v>62</v>
      </c>
      <c r="C1304" t="s">
        <v>6</v>
      </c>
      <c r="D1304" s="1">
        <v>5063</v>
      </c>
      <c r="E1304" s="1">
        <v>75524</v>
      </c>
      <c r="F1304" s="2">
        <v>53795</v>
      </c>
    </row>
    <row r="1305" spans="1:6" x14ac:dyDescent="0.3">
      <c r="A1305">
        <v>2022</v>
      </c>
      <c r="B1305" t="s">
        <v>62</v>
      </c>
      <c r="C1305" t="s">
        <v>7</v>
      </c>
      <c r="D1305" s="1">
        <v>73761</v>
      </c>
      <c r="E1305" s="1">
        <v>1287814</v>
      </c>
      <c r="F1305" s="2">
        <v>50781</v>
      </c>
    </row>
    <row r="1306" spans="1:6" x14ac:dyDescent="0.3">
      <c r="A1306">
        <v>2022</v>
      </c>
      <c r="B1306" t="s">
        <v>62</v>
      </c>
      <c r="C1306" t="s">
        <v>8</v>
      </c>
      <c r="D1306" s="1">
        <v>28952</v>
      </c>
      <c r="E1306" s="1">
        <v>562436</v>
      </c>
      <c r="F1306" s="2">
        <v>52062</v>
      </c>
    </row>
    <row r="1307" spans="1:6" x14ac:dyDescent="0.3">
      <c r="A1307">
        <v>2022</v>
      </c>
      <c r="B1307" t="s">
        <v>62</v>
      </c>
      <c r="C1307" t="s">
        <v>9</v>
      </c>
      <c r="D1307" s="1">
        <v>7824</v>
      </c>
      <c r="E1307" s="1">
        <v>100212</v>
      </c>
      <c r="F1307" s="2">
        <v>42047</v>
      </c>
    </row>
    <row r="1308" spans="1:6" x14ac:dyDescent="0.3">
      <c r="A1308">
        <v>2022</v>
      </c>
      <c r="B1308" t="s">
        <v>62</v>
      </c>
      <c r="C1308" t="s">
        <v>10</v>
      </c>
      <c r="D1308" s="1">
        <v>34720</v>
      </c>
      <c r="E1308" s="1">
        <v>919288</v>
      </c>
      <c r="F1308" s="2">
        <v>50959</v>
      </c>
    </row>
    <row r="1309" spans="1:6" x14ac:dyDescent="0.3">
      <c r="A1309">
        <v>2022</v>
      </c>
      <c r="B1309" t="s">
        <v>62</v>
      </c>
      <c r="C1309" t="s">
        <v>11</v>
      </c>
      <c r="D1309" s="1">
        <v>15692</v>
      </c>
      <c r="E1309" s="1">
        <v>459398</v>
      </c>
      <c r="F1309" s="2">
        <v>47681</v>
      </c>
    </row>
    <row r="1310" spans="1:6" x14ac:dyDescent="0.3">
      <c r="A1310">
        <v>2022</v>
      </c>
      <c r="B1310" t="s">
        <v>62</v>
      </c>
      <c r="C1310" t="s">
        <v>12</v>
      </c>
      <c r="D1310" s="1">
        <v>11589</v>
      </c>
      <c r="E1310" s="1">
        <v>219674</v>
      </c>
      <c r="F1310" s="2">
        <v>43022</v>
      </c>
    </row>
    <row r="1311" spans="1:6" x14ac:dyDescent="0.3">
      <c r="A1311">
        <v>2022</v>
      </c>
      <c r="B1311" t="s">
        <v>62</v>
      </c>
      <c r="C1311" t="s">
        <v>13</v>
      </c>
      <c r="D1311" s="1">
        <v>10277</v>
      </c>
      <c r="E1311" s="1">
        <v>195132</v>
      </c>
      <c r="F1311" s="2">
        <v>42586</v>
      </c>
    </row>
    <row r="1312" spans="1:6" x14ac:dyDescent="0.3">
      <c r="A1312">
        <v>2022</v>
      </c>
      <c r="B1312" t="s">
        <v>62</v>
      </c>
      <c r="C1312" t="s">
        <v>14</v>
      </c>
      <c r="D1312" s="1">
        <v>18161</v>
      </c>
      <c r="E1312" s="1">
        <v>267486</v>
      </c>
      <c r="F1312" s="2">
        <v>48210</v>
      </c>
    </row>
    <row r="1313" spans="1:6" x14ac:dyDescent="0.3">
      <c r="A1313">
        <v>2022</v>
      </c>
      <c r="B1313" t="s">
        <v>62</v>
      </c>
      <c r="C1313" t="s">
        <v>15</v>
      </c>
      <c r="D1313" s="1">
        <v>15480</v>
      </c>
      <c r="E1313" s="1">
        <v>300015</v>
      </c>
      <c r="F1313" s="2">
        <v>43339</v>
      </c>
    </row>
    <row r="1314" spans="1:6" x14ac:dyDescent="0.3">
      <c r="A1314">
        <v>2022</v>
      </c>
      <c r="B1314" t="s">
        <v>62</v>
      </c>
      <c r="C1314" t="s">
        <v>16</v>
      </c>
      <c r="D1314" s="1">
        <v>5483</v>
      </c>
      <c r="E1314" s="1">
        <v>118009</v>
      </c>
      <c r="F1314" s="2">
        <v>47535</v>
      </c>
    </row>
    <row r="1315" spans="1:6" x14ac:dyDescent="0.3">
      <c r="A1315">
        <v>2022</v>
      </c>
      <c r="B1315" t="s">
        <v>62</v>
      </c>
      <c r="C1315" t="s">
        <v>17</v>
      </c>
      <c r="D1315" s="1">
        <v>20856</v>
      </c>
      <c r="E1315" s="1">
        <v>445328</v>
      </c>
      <c r="F1315" s="2">
        <v>54310</v>
      </c>
    </row>
    <row r="1316" spans="1:6" x14ac:dyDescent="0.3">
      <c r="A1316">
        <v>2022</v>
      </c>
      <c r="B1316" t="s">
        <v>62</v>
      </c>
      <c r="C1316" t="s">
        <v>18</v>
      </c>
      <c r="D1316" s="1">
        <v>66364</v>
      </c>
      <c r="E1316" s="1">
        <v>773683</v>
      </c>
      <c r="F1316" s="2">
        <v>58448</v>
      </c>
    </row>
    <row r="1317" spans="1:6" x14ac:dyDescent="0.3">
      <c r="A1317">
        <v>2022</v>
      </c>
      <c r="B1317" t="s">
        <v>62</v>
      </c>
      <c r="C1317" t="s">
        <v>19</v>
      </c>
      <c r="D1317" s="1">
        <v>24822</v>
      </c>
      <c r="E1317" s="1">
        <v>659230</v>
      </c>
      <c r="F1317" s="2">
        <v>49739</v>
      </c>
    </row>
    <row r="1318" spans="1:6" x14ac:dyDescent="0.3">
      <c r="A1318">
        <v>2022</v>
      </c>
      <c r="B1318" t="s">
        <v>62</v>
      </c>
      <c r="C1318" t="s">
        <v>20</v>
      </c>
      <c r="D1318" s="1">
        <v>19210</v>
      </c>
      <c r="E1318" s="1">
        <v>526556</v>
      </c>
      <c r="F1318" s="2">
        <v>51469</v>
      </c>
    </row>
    <row r="1319" spans="1:6" x14ac:dyDescent="0.3">
      <c r="A1319">
        <v>2022</v>
      </c>
      <c r="B1319" t="s">
        <v>62</v>
      </c>
      <c r="C1319" t="s">
        <v>21</v>
      </c>
      <c r="D1319" s="1">
        <v>7531</v>
      </c>
      <c r="E1319" s="1">
        <v>144105</v>
      </c>
      <c r="F1319" s="2">
        <v>41620</v>
      </c>
    </row>
    <row r="1320" spans="1:6" x14ac:dyDescent="0.3">
      <c r="A1320">
        <v>2022</v>
      </c>
      <c r="B1320" t="s">
        <v>62</v>
      </c>
      <c r="C1320" t="s">
        <v>22</v>
      </c>
      <c r="D1320" s="1">
        <v>48555</v>
      </c>
      <c r="E1320" s="1">
        <v>454728</v>
      </c>
      <c r="F1320" s="2">
        <v>46127</v>
      </c>
    </row>
    <row r="1321" spans="1:6" x14ac:dyDescent="0.3">
      <c r="A1321">
        <v>2022</v>
      </c>
      <c r="B1321" t="s">
        <v>62</v>
      </c>
      <c r="C1321" t="s">
        <v>23</v>
      </c>
      <c r="D1321" s="1">
        <v>4637</v>
      </c>
      <c r="E1321" s="1">
        <v>73530</v>
      </c>
      <c r="F1321" s="2">
        <v>47539</v>
      </c>
    </row>
    <row r="1322" spans="1:6" x14ac:dyDescent="0.3">
      <c r="A1322">
        <v>2022</v>
      </c>
      <c r="B1322" t="s">
        <v>62</v>
      </c>
      <c r="C1322" t="s">
        <v>24</v>
      </c>
      <c r="D1322" s="1">
        <v>12205</v>
      </c>
      <c r="E1322" s="1">
        <v>138155</v>
      </c>
      <c r="F1322" s="2">
        <v>46678</v>
      </c>
    </row>
    <row r="1323" spans="1:6" x14ac:dyDescent="0.3">
      <c r="A1323">
        <v>2022</v>
      </c>
      <c r="B1323" t="s">
        <v>62</v>
      </c>
      <c r="C1323" t="s">
        <v>25</v>
      </c>
      <c r="D1323" s="1">
        <v>8913</v>
      </c>
      <c r="E1323" s="1">
        <v>139036</v>
      </c>
      <c r="F1323" s="2">
        <v>54167</v>
      </c>
    </row>
    <row r="1324" spans="1:6" x14ac:dyDescent="0.3">
      <c r="A1324">
        <v>2022</v>
      </c>
      <c r="B1324" t="s">
        <v>62</v>
      </c>
      <c r="C1324" t="s">
        <v>26</v>
      </c>
      <c r="D1324" s="1">
        <v>4700</v>
      </c>
      <c r="E1324" s="1">
        <v>112567</v>
      </c>
      <c r="F1324" s="2">
        <v>56317</v>
      </c>
    </row>
    <row r="1325" spans="1:6" x14ac:dyDescent="0.3">
      <c r="A1325">
        <v>2022</v>
      </c>
      <c r="B1325" t="s">
        <v>62</v>
      </c>
      <c r="C1325" t="s">
        <v>27</v>
      </c>
      <c r="D1325" s="1">
        <v>37328</v>
      </c>
      <c r="E1325" s="1">
        <v>656716</v>
      </c>
      <c r="F1325" s="2">
        <v>53402</v>
      </c>
    </row>
    <row r="1326" spans="1:6" x14ac:dyDescent="0.3">
      <c r="A1326">
        <v>2022</v>
      </c>
      <c r="B1326" t="s">
        <v>62</v>
      </c>
      <c r="C1326" t="s">
        <v>28</v>
      </c>
      <c r="D1326" s="1">
        <v>10221</v>
      </c>
      <c r="E1326" s="1">
        <v>128590</v>
      </c>
      <c r="F1326" s="2">
        <v>41645</v>
      </c>
    </row>
    <row r="1327" spans="1:6" x14ac:dyDescent="0.3">
      <c r="A1327">
        <v>2022</v>
      </c>
      <c r="B1327" t="s">
        <v>62</v>
      </c>
      <c r="C1327" t="s">
        <v>29</v>
      </c>
      <c r="D1327" s="1">
        <v>67399</v>
      </c>
      <c r="E1327" s="1">
        <v>1914153</v>
      </c>
      <c r="F1327" s="2">
        <v>53467</v>
      </c>
    </row>
    <row r="1328" spans="1:6" x14ac:dyDescent="0.3">
      <c r="A1328">
        <v>2022</v>
      </c>
      <c r="B1328" t="s">
        <v>62</v>
      </c>
      <c r="C1328" t="s">
        <v>30</v>
      </c>
      <c r="D1328" s="1">
        <v>27210</v>
      </c>
      <c r="E1328" s="1">
        <v>592067</v>
      </c>
      <c r="F1328" s="2">
        <v>48381</v>
      </c>
    </row>
    <row r="1329" spans="1:6" x14ac:dyDescent="0.3">
      <c r="A1329">
        <v>2022</v>
      </c>
      <c r="B1329" t="s">
        <v>62</v>
      </c>
      <c r="C1329" t="s">
        <v>31</v>
      </c>
      <c r="D1329" s="1">
        <v>2558</v>
      </c>
      <c r="E1329" s="1">
        <v>62184</v>
      </c>
      <c r="F1329" s="2">
        <v>51404</v>
      </c>
    </row>
    <row r="1330" spans="1:6" x14ac:dyDescent="0.3">
      <c r="A1330">
        <v>2022</v>
      </c>
      <c r="B1330" t="s">
        <v>62</v>
      </c>
      <c r="C1330" t="s">
        <v>32</v>
      </c>
      <c r="D1330" s="1">
        <v>34508</v>
      </c>
      <c r="E1330" s="1">
        <v>904140</v>
      </c>
      <c r="F1330" s="2">
        <v>46408</v>
      </c>
    </row>
    <row r="1331" spans="1:6" x14ac:dyDescent="0.3">
      <c r="A1331">
        <v>2022</v>
      </c>
      <c r="B1331" t="s">
        <v>62</v>
      </c>
      <c r="C1331" t="s">
        <v>33</v>
      </c>
      <c r="D1331" s="1">
        <v>13563</v>
      </c>
      <c r="E1331" s="1">
        <v>209863</v>
      </c>
      <c r="F1331" s="2">
        <v>45570</v>
      </c>
    </row>
    <row r="1332" spans="1:6" x14ac:dyDescent="0.3">
      <c r="A1332">
        <v>2022</v>
      </c>
      <c r="B1332" t="s">
        <v>62</v>
      </c>
      <c r="C1332" t="s">
        <v>34</v>
      </c>
      <c r="D1332" s="1">
        <v>15708</v>
      </c>
      <c r="E1332" s="1">
        <v>288939</v>
      </c>
      <c r="F1332" s="2">
        <v>50107</v>
      </c>
    </row>
    <row r="1333" spans="1:6" x14ac:dyDescent="0.3">
      <c r="A1333">
        <v>2022</v>
      </c>
      <c r="B1333" t="s">
        <v>62</v>
      </c>
      <c r="C1333" t="s">
        <v>35</v>
      </c>
      <c r="D1333" s="1">
        <v>57768</v>
      </c>
      <c r="E1333" s="1">
        <v>1209344</v>
      </c>
      <c r="F1333" s="2">
        <v>51808</v>
      </c>
    </row>
    <row r="1334" spans="1:6" x14ac:dyDescent="0.3">
      <c r="A1334">
        <v>2022</v>
      </c>
      <c r="B1334" t="s">
        <v>62</v>
      </c>
      <c r="C1334" t="s">
        <v>36</v>
      </c>
      <c r="D1334" s="1">
        <v>4545</v>
      </c>
      <c r="E1334" s="1">
        <v>100506</v>
      </c>
      <c r="F1334" s="2">
        <v>48716</v>
      </c>
    </row>
    <row r="1335" spans="1:6" x14ac:dyDescent="0.3">
      <c r="A1335">
        <v>2022</v>
      </c>
      <c r="B1335" t="s">
        <v>62</v>
      </c>
      <c r="C1335" t="s">
        <v>37</v>
      </c>
      <c r="D1335" s="1">
        <v>11971</v>
      </c>
      <c r="E1335" s="1">
        <v>234487</v>
      </c>
      <c r="F1335" s="2">
        <v>45993</v>
      </c>
    </row>
    <row r="1336" spans="1:6" x14ac:dyDescent="0.3">
      <c r="A1336">
        <v>2022</v>
      </c>
      <c r="B1336" t="s">
        <v>62</v>
      </c>
      <c r="C1336" t="s">
        <v>38</v>
      </c>
      <c r="D1336" s="1">
        <v>2839</v>
      </c>
      <c r="E1336" s="1">
        <v>67868</v>
      </c>
      <c r="F1336" s="2">
        <v>50399</v>
      </c>
    </row>
    <row r="1337" spans="1:6" x14ac:dyDescent="0.3">
      <c r="A1337">
        <v>2022</v>
      </c>
      <c r="B1337" t="s">
        <v>62</v>
      </c>
      <c r="C1337" t="s">
        <v>39</v>
      </c>
      <c r="D1337" s="1">
        <v>16127</v>
      </c>
      <c r="E1337" s="1">
        <v>420817</v>
      </c>
      <c r="F1337" s="2">
        <v>52099</v>
      </c>
    </row>
    <row r="1338" spans="1:6" x14ac:dyDescent="0.3">
      <c r="A1338">
        <v>2022</v>
      </c>
      <c r="B1338" t="s">
        <v>62</v>
      </c>
      <c r="C1338" t="s">
        <v>40</v>
      </c>
      <c r="D1338" s="1">
        <v>90552</v>
      </c>
      <c r="E1338" s="1">
        <v>1641637</v>
      </c>
      <c r="F1338" s="2">
        <v>48036</v>
      </c>
    </row>
    <row r="1339" spans="1:6" x14ac:dyDescent="0.3">
      <c r="A1339">
        <v>2022</v>
      </c>
      <c r="B1339" t="s">
        <v>62</v>
      </c>
      <c r="C1339" t="s">
        <v>41</v>
      </c>
      <c r="D1339" s="1">
        <v>12264</v>
      </c>
      <c r="E1339" s="1">
        <v>186785</v>
      </c>
      <c r="F1339" s="2">
        <v>43696</v>
      </c>
    </row>
    <row r="1340" spans="1:6" x14ac:dyDescent="0.3">
      <c r="A1340">
        <v>2022</v>
      </c>
      <c r="B1340" t="s">
        <v>62</v>
      </c>
      <c r="C1340" t="s">
        <v>42</v>
      </c>
      <c r="D1340" s="1">
        <v>2463</v>
      </c>
      <c r="E1340" s="1">
        <v>62630</v>
      </c>
      <c r="F1340" s="2">
        <v>46699</v>
      </c>
    </row>
    <row r="1341" spans="1:6" x14ac:dyDescent="0.3">
      <c r="A1341">
        <v>2022</v>
      </c>
      <c r="B1341" t="s">
        <v>62</v>
      </c>
      <c r="C1341" t="s">
        <v>43</v>
      </c>
      <c r="D1341" s="1">
        <v>43566</v>
      </c>
      <c r="E1341" s="1">
        <v>505487</v>
      </c>
      <c r="F1341" s="2">
        <v>49627</v>
      </c>
    </row>
    <row r="1342" spans="1:6" x14ac:dyDescent="0.3">
      <c r="A1342">
        <v>2022</v>
      </c>
      <c r="B1342" t="s">
        <v>62</v>
      </c>
      <c r="C1342" t="s">
        <v>44</v>
      </c>
      <c r="D1342" s="1">
        <v>61026</v>
      </c>
      <c r="E1342" s="1">
        <v>465717</v>
      </c>
      <c r="F1342" s="2">
        <v>51354</v>
      </c>
    </row>
    <row r="1343" spans="1:6" x14ac:dyDescent="0.3">
      <c r="A1343">
        <v>2022</v>
      </c>
      <c r="B1343" t="s">
        <v>62</v>
      </c>
      <c r="C1343" t="s">
        <v>45</v>
      </c>
      <c r="D1343" s="1">
        <v>5765</v>
      </c>
      <c r="E1343" s="1">
        <v>124431</v>
      </c>
      <c r="F1343" s="2">
        <v>46182</v>
      </c>
    </row>
    <row r="1344" spans="1:6" x14ac:dyDescent="0.3">
      <c r="A1344">
        <v>2022</v>
      </c>
      <c r="B1344" t="s">
        <v>62</v>
      </c>
      <c r="C1344" t="s">
        <v>46</v>
      </c>
      <c r="D1344" s="1">
        <v>28013</v>
      </c>
      <c r="E1344" s="1">
        <v>434143</v>
      </c>
      <c r="F1344" s="2">
        <v>49195</v>
      </c>
    </row>
    <row r="1345" spans="1:6" x14ac:dyDescent="0.3">
      <c r="A1345">
        <v>2022</v>
      </c>
      <c r="B1345" t="s">
        <v>62</v>
      </c>
      <c r="C1345" t="s">
        <v>47</v>
      </c>
      <c r="D1345" s="1">
        <v>3338</v>
      </c>
      <c r="E1345" s="1">
        <v>26972</v>
      </c>
      <c r="F1345" s="2">
        <v>42906</v>
      </c>
    </row>
    <row r="1346" spans="1:6" x14ac:dyDescent="0.3">
      <c r="A1346">
        <v>2022</v>
      </c>
      <c r="B1346" t="s">
        <v>54</v>
      </c>
      <c r="C1346" t="s">
        <v>0</v>
      </c>
      <c r="D1346" s="1">
        <v>10993</v>
      </c>
      <c r="E1346" s="1">
        <v>205942</v>
      </c>
      <c r="F1346" s="2">
        <v>16798</v>
      </c>
    </row>
    <row r="1347" spans="1:6" x14ac:dyDescent="0.3">
      <c r="A1347">
        <v>2022</v>
      </c>
      <c r="B1347" t="s">
        <v>54</v>
      </c>
      <c r="C1347" t="s">
        <v>1</v>
      </c>
      <c r="D1347" s="1">
        <v>13627</v>
      </c>
      <c r="E1347" s="1">
        <v>325897</v>
      </c>
      <c r="F1347" s="2">
        <v>24580</v>
      </c>
    </row>
    <row r="1348" spans="1:6" x14ac:dyDescent="0.3">
      <c r="A1348">
        <v>2022</v>
      </c>
      <c r="B1348" t="s">
        <v>54</v>
      </c>
      <c r="C1348" t="s">
        <v>2</v>
      </c>
      <c r="D1348" s="1">
        <v>7168</v>
      </c>
      <c r="E1348" s="1">
        <v>118405</v>
      </c>
      <c r="F1348" s="2">
        <v>16536</v>
      </c>
    </row>
    <row r="1349" spans="1:6" x14ac:dyDescent="0.3">
      <c r="A1349">
        <v>2022</v>
      </c>
      <c r="B1349" t="s">
        <v>54</v>
      </c>
      <c r="C1349" t="s">
        <v>3</v>
      </c>
      <c r="D1349" s="1">
        <v>111455</v>
      </c>
      <c r="E1349" s="1">
        <v>1988750</v>
      </c>
      <c r="F1349" s="2">
        <v>30527</v>
      </c>
    </row>
    <row r="1350" spans="1:6" x14ac:dyDescent="0.3">
      <c r="A1350">
        <v>2022</v>
      </c>
      <c r="B1350" t="s">
        <v>54</v>
      </c>
      <c r="C1350" t="s">
        <v>4</v>
      </c>
      <c r="D1350" s="1">
        <v>16939</v>
      </c>
      <c r="E1350" s="1">
        <v>339407</v>
      </c>
      <c r="F1350" s="2">
        <v>25878</v>
      </c>
    </row>
    <row r="1351" spans="1:6" x14ac:dyDescent="0.3">
      <c r="A1351">
        <v>2022</v>
      </c>
      <c r="B1351" t="s">
        <v>54</v>
      </c>
      <c r="C1351" t="s">
        <v>5</v>
      </c>
      <c r="D1351" s="1">
        <v>10668</v>
      </c>
      <c r="E1351" s="1">
        <v>157709</v>
      </c>
      <c r="F1351" s="2">
        <v>23705</v>
      </c>
    </row>
    <row r="1352" spans="1:6" x14ac:dyDescent="0.3">
      <c r="A1352">
        <v>2022</v>
      </c>
      <c r="B1352" t="s">
        <v>54</v>
      </c>
      <c r="C1352" t="s">
        <v>6</v>
      </c>
      <c r="D1352" s="1">
        <v>2637</v>
      </c>
      <c r="E1352" s="1">
        <v>51696</v>
      </c>
      <c r="F1352" s="2">
        <v>20414</v>
      </c>
    </row>
    <row r="1353" spans="1:6" x14ac:dyDescent="0.3">
      <c r="A1353">
        <v>2022</v>
      </c>
      <c r="B1353" t="s">
        <v>54</v>
      </c>
      <c r="C1353" t="s">
        <v>7</v>
      </c>
      <c r="D1353" s="1">
        <v>56587</v>
      </c>
      <c r="E1353" s="1">
        <v>1226786</v>
      </c>
      <c r="F1353" s="2">
        <v>25881</v>
      </c>
    </row>
    <row r="1354" spans="1:6" x14ac:dyDescent="0.3">
      <c r="A1354">
        <v>2022</v>
      </c>
      <c r="B1354" t="s">
        <v>54</v>
      </c>
      <c r="C1354" t="s">
        <v>8</v>
      </c>
      <c r="D1354" s="1">
        <v>24275</v>
      </c>
      <c r="E1354" s="1">
        <v>487598</v>
      </c>
      <c r="F1354" s="2">
        <v>20604</v>
      </c>
    </row>
    <row r="1355" spans="1:6" x14ac:dyDescent="0.3">
      <c r="A1355">
        <v>2022</v>
      </c>
      <c r="B1355" t="s">
        <v>54</v>
      </c>
      <c r="C1355" t="s">
        <v>9</v>
      </c>
      <c r="D1355" s="1">
        <v>5008</v>
      </c>
      <c r="E1355" s="1">
        <v>78912</v>
      </c>
      <c r="F1355" s="2">
        <v>17141</v>
      </c>
    </row>
    <row r="1356" spans="1:6" x14ac:dyDescent="0.3">
      <c r="A1356">
        <v>2022</v>
      </c>
      <c r="B1356" t="s">
        <v>54</v>
      </c>
      <c r="C1356" t="s">
        <v>10</v>
      </c>
      <c r="D1356" s="1">
        <v>32619</v>
      </c>
      <c r="E1356" s="1">
        <v>617101</v>
      </c>
      <c r="F1356" s="2">
        <v>23765</v>
      </c>
    </row>
    <row r="1357" spans="1:6" x14ac:dyDescent="0.3">
      <c r="A1357">
        <v>2022</v>
      </c>
      <c r="B1357" t="s">
        <v>54</v>
      </c>
      <c r="C1357" t="s">
        <v>11</v>
      </c>
      <c r="D1357" s="1">
        <v>15564</v>
      </c>
      <c r="E1357" s="1">
        <v>310335</v>
      </c>
      <c r="F1357" s="2">
        <v>18981</v>
      </c>
    </row>
    <row r="1358" spans="1:6" x14ac:dyDescent="0.3">
      <c r="A1358">
        <v>2022</v>
      </c>
      <c r="B1358" t="s">
        <v>54</v>
      </c>
      <c r="C1358" t="s">
        <v>12</v>
      </c>
      <c r="D1358" s="1">
        <v>8670</v>
      </c>
      <c r="E1358" s="1">
        <v>143729</v>
      </c>
      <c r="F1358" s="2">
        <v>16799</v>
      </c>
    </row>
    <row r="1359" spans="1:6" x14ac:dyDescent="0.3">
      <c r="A1359">
        <v>2022</v>
      </c>
      <c r="B1359" t="s">
        <v>54</v>
      </c>
      <c r="C1359" t="s">
        <v>13</v>
      </c>
      <c r="D1359" s="1">
        <v>6895</v>
      </c>
      <c r="E1359" s="1">
        <v>129372</v>
      </c>
      <c r="F1359" s="2">
        <v>16764</v>
      </c>
    </row>
    <row r="1360" spans="1:6" x14ac:dyDescent="0.3">
      <c r="A1360">
        <v>2022</v>
      </c>
      <c r="B1360" t="s">
        <v>54</v>
      </c>
      <c r="C1360" t="s">
        <v>14</v>
      </c>
      <c r="D1360" s="1">
        <v>10080</v>
      </c>
      <c r="E1360" s="1">
        <v>197894</v>
      </c>
      <c r="F1360" s="2">
        <v>17719</v>
      </c>
    </row>
    <row r="1361" spans="1:6" x14ac:dyDescent="0.3">
      <c r="A1361">
        <v>2022</v>
      </c>
      <c r="B1361" t="s">
        <v>54</v>
      </c>
      <c r="C1361" t="s">
        <v>15</v>
      </c>
      <c r="D1361" s="1">
        <v>12415</v>
      </c>
      <c r="E1361" s="1">
        <v>236357</v>
      </c>
      <c r="F1361" s="2">
        <v>21264</v>
      </c>
    </row>
    <row r="1362" spans="1:6" x14ac:dyDescent="0.3">
      <c r="A1362">
        <v>2022</v>
      </c>
      <c r="B1362" t="s">
        <v>54</v>
      </c>
      <c r="C1362" t="s">
        <v>16</v>
      </c>
      <c r="D1362" s="1">
        <v>5047</v>
      </c>
      <c r="E1362" s="1">
        <v>68406</v>
      </c>
      <c r="F1362" s="2">
        <v>22087</v>
      </c>
    </row>
    <row r="1363" spans="1:6" x14ac:dyDescent="0.3">
      <c r="A1363">
        <v>2022</v>
      </c>
      <c r="B1363" t="s">
        <v>54</v>
      </c>
      <c r="C1363" t="s">
        <v>17</v>
      </c>
      <c r="D1363" s="1">
        <v>14772</v>
      </c>
      <c r="E1363" s="1">
        <v>282009</v>
      </c>
      <c r="F1363" s="2">
        <v>24012</v>
      </c>
    </row>
    <row r="1364" spans="1:6" x14ac:dyDescent="0.3">
      <c r="A1364">
        <v>2022</v>
      </c>
      <c r="B1364" t="s">
        <v>54</v>
      </c>
      <c r="C1364" t="s">
        <v>18</v>
      </c>
      <c r="D1364" s="1">
        <v>20642</v>
      </c>
      <c r="E1364" s="1">
        <v>375767</v>
      </c>
      <c r="F1364" s="2">
        <v>27758</v>
      </c>
    </row>
    <row r="1365" spans="1:6" x14ac:dyDescent="0.3">
      <c r="A1365">
        <v>2022</v>
      </c>
      <c r="B1365" t="s">
        <v>54</v>
      </c>
      <c r="C1365" t="s">
        <v>19</v>
      </c>
      <c r="D1365" s="1">
        <v>22025</v>
      </c>
      <c r="E1365" s="1">
        <v>432290</v>
      </c>
      <c r="F1365" s="2">
        <v>20566</v>
      </c>
    </row>
    <row r="1366" spans="1:6" x14ac:dyDescent="0.3">
      <c r="A1366">
        <v>2022</v>
      </c>
      <c r="B1366" t="s">
        <v>54</v>
      </c>
      <c r="C1366" t="s">
        <v>20</v>
      </c>
      <c r="D1366" s="1">
        <v>15294</v>
      </c>
      <c r="E1366" s="1">
        <v>272821</v>
      </c>
      <c r="F1366" s="2">
        <v>22507</v>
      </c>
    </row>
    <row r="1367" spans="1:6" x14ac:dyDescent="0.3">
      <c r="A1367">
        <v>2022</v>
      </c>
      <c r="B1367" t="s">
        <v>54</v>
      </c>
      <c r="C1367" t="s">
        <v>21</v>
      </c>
      <c r="D1367" s="1">
        <v>6464</v>
      </c>
      <c r="E1367" s="1">
        <v>134785</v>
      </c>
      <c r="F1367" s="2">
        <v>17523</v>
      </c>
    </row>
    <row r="1368" spans="1:6" x14ac:dyDescent="0.3">
      <c r="A1368">
        <v>2022</v>
      </c>
      <c r="B1368" t="s">
        <v>54</v>
      </c>
      <c r="C1368" t="s">
        <v>22</v>
      </c>
      <c r="D1368" s="1">
        <v>14797</v>
      </c>
      <c r="E1368" s="1">
        <v>305418</v>
      </c>
      <c r="F1368" s="2">
        <v>20892</v>
      </c>
    </row>
    <row r="1369" spans="1:6" x14ac:dyDescent="0.3">
      <c r="A1369">
        <v>2022</v>
      </c>
      <c r="B1369" t="s">
        <v>54</v>
      </c>
      <c r="C1369" t="s">
        <v>23</v>
      </c>
      <c r="D1369" s="1">
        <v>5071</v>
      </c>
      <c r="E1369" s="1">
        <v>66044</v>
      </c>
      <c r="F1369" s="2">
        <v>19150</v>
      </c>
    </row>
    <row r="1370" spans="1:6" x14ac:dyDescent="0.3">
      <c r="A1370">
        <v>2022</v>
      </c>
      <c r="B1370" t="s">
        <v>54</v>
      </c>
      <c r="C1370" t="s">
        <v>24</v>
      </c>
      <c r="D1370" s="1">
        <v>5561</v>
      </c>
      <c r="E1370" s="1">
        <v>92581</v>
      </c>
      <c r="F1370" s="2">
        <v>16715</v>
      </c>
    </row>
    <row r="1371" spans="1:6" x14ac:dyDescent="0.3">
      <c r="A1371">
        <v>2022</v>
      </c>
      <c r="B1371" t="s">
        <v>54</v>
      </c>
      <c r="C1371" t="s">
        <v>25</v>
      </c>
      <c r="D1371" s="1">
        <v>8499</v>
      </c>
      <c r="E1371" s="1">
        <v>352051</v>
      </c>
      <c r="F1371" s="2">
        <v>33688</v>
      </c>
    </row>
    <row r="1372" spans="1:6" x14ac:dyDescent="0.3">
      <c r="A1372">
        <v>2022</v>
      </c>
      <c r="B1372" t="s">
        <v>54</v>
      </c>
      <c r="C1372" t="s">
        <v>26</v>
      </c>
      <c r="D1372" s="1">
        <v>4595</v>
      </c>
      <c r="E1372" s="1">
        <v>71975</v>
      </c>
      <c r="F1372" s="2">
        <v>21945</v>
      </c>
    </row>
    <row r="1373" spans="1:6" x14ac:dyDescent="0.3">
      <c r="A1373">
        <v>2022</v>
      </c>
      <c r="B1373" t="s">
        <v>54</v>
      </c>
      <c r="C1373" t="s">
        <v>27</v>
      </c>
      <c r="D1373" s="1">
        <v>24132</v>
      </c>
      <c r="E1373" s="1">
        <v>385616</v>
      </c>
      <c r="F1373" s="2">
        <v>26316</v>
      </c>
    </row>
    <row r="1374" spans="1:6" x14ac:dyDescent="0.3">
      <c r="A1374">
        <v>2022</v>
      </c>
      <c r="B1374" t="s">
        <v>54</v>
      </c>
      <c r="C1374" t="s">
        <v>28</v>
      </c>
      <c r="D1374" s="1">
        <v>5107</v>
      </c>
      <c r="E1374" s="1">
        <v>97785</v>
      </c>
      <c r="F1374" s="2">
        <v>18651</v>
      </c>
    </row>
    <row r="1375" spans="1:6" x14ac:dyDescent="0.3">
      <c r="A1375">
        <v>2022</v>
      </c>
      <c r="B1375" t="s">
        <v>54</v>
      </c>
      <c r="C1375" t="s">
        <v>29</v>
      </c>
      <c r="D1375" s="1">
        <v>66285</v>
      </c>
      <c r="E1375" s="1">
        <v>957343</v>
      </c>
      <c r="F1375" s="2">
        <v>33850</v>
      </c>
    </row>
    <row r="1376" spans="1:6" x14ac:dyDescent="0.3">
      <c r="A1376">
        <v>2022</v>
      </c>
      <c r="B1376" t="s">
        <v>54</v>
      </c>
      <c r="C1376" t="s">
        <v>30</v>
      </c>
      <c r="D1376" s="1">
        <v>25859</v>
      </c>
      <c r="E1376" s="1">
        <v>502877</v>
      </c>
      <c r="F1376" s="2">
        <v>19767</v>
      </c>
    </row>
    <row r="1377" spans="1:6" x14ac:dyDescent="0.3">
      <c r="A1377">
        <v>2022</v>
      </c>
      <c r="B1377" t="s">
        <v>54</v>
      </c>
      <c r="C1377" t="s">
        <v>31</v>
      </c>
      <c r="D1377" s="1">
        <v>2627</v>
      </c>
      <c r="E1377" s="1">
        <v>40375</v>
      </c>
      <c r="F1377" s="2">
        <v>17889</v>
      </c>
    </row>
    <row r="1378" spans="1:6" x14ac:dyDescent="0.3">
      <c r="A1378">
        <v>2022</v>
      </c>
      <c r="B1378" t="s">
        <v>54</v>
      </c>
      <c r="C1378" t="s">
        <v>32</v>
      </c>
      <c r="D1378" s="1">
        <v>28523</v>
      </c>
      <c r="E1378" s="1">
        <v>566681</v>
      </c>
      <c r="F1378" s="2">
        <v>19459</v>
      </c>
    </row>
    <row r="1379" spans="1:6" x14ac:dyDescent="0.3">
      <c r="A1379">
        <v>2022</v>
      </c>
      <c r="B1379" t="s">
        <v>54</v>
      </c>
      <c r="C1379" t="s">
        <v>33</v>
      </c>
      <c r="D1379" s="1">
        <v>9140</v>
      </c>
      <c r="E1379" s="1">
        <v>171567</v>
      </c>
      <c r="F1379" s="2">
        <v>18204</v>
      </c>
    </row>
    <row r="1380" spans="1:6" x14ac:dyDescent="0.3">
      <c r="A1380">
        <v>2022</v>
      </c>
      <c r="B1380" t="s">
        <v>54</v>
      </c>
      <c r="C1380" t="s">
        <v>34</v>
      </c>
      <c r="D1380" s="1">
        <v>13794</v>
      </c>
      <c r="E1380" s="1">
        <v>210781</v>
      </c>
      <c r="F1380" s="2">
        <v>22754</v>
      </c>
    </row>
    <row r="1381" spans="1:6" x14ac:dyDescent="0.3">
      <c r="A1381">
        <v>2022</v>
      </c>
      <c r="B1381" t="s">
        <v>54</v>
      </c>
      <c r="C1381" t="s">
        <v>35</v>
      </c>
      <c r="D1381" s="1">
        <v>33471</v>
      </c>
      <c r="E1381" s="1">
        <v>571799</v>
      </c>
      <c r="F1381" s="2">
        <v>21102</v>
      </c>
    </row>
    <row r="1382" spans="1:6" x14ac:dyDescent="0.3">
      <c r="A1382">
        <v>2022</v>
      </c>
      <c r="B1382" t="s">
        <v>54</v>
      </c>
      <c r="C1382" t="s">
        <v>36</v>
      </c>
      <c r="D1382" s="1">
        <v>3748</v>
      </c>
      <c r="E1382" s="1">
        <v>59154</v>
      </c>
      <c r="F1382" s="2">
        <v>22818</v>
      </c>
    </row>
    <row r="1383" spans="1:6" x14ac:dyDescent="0.3">
      <c r="A1383">
        <v>2022</v>
      </c>
      <c r="B1383" t="s">
        <v>54</v>
      </c>
      <c r="C1383" t="s">
        <v>37</v>
      </c>
      <c r="D1383" s="1">
        <v>12841</v>
      </c>
      <c r="E1383" s="1">
        <v>263743</v>
      </c>
      <c r="F1383" s="2">
        <v>17991</v>
      </c>
    </row>
    <row r="1384" spans="1:6" x14ac:dyDescent="0.3">
      <c r="A1384">
        <v>2022</v>
      </c>
      <c r="B1384" t="s">
        <v>54</v>
      </c>
      <c r="C1384" t="s">
        <v>38</v>
      </c>
      <c r="D1384" s="1">
        <v>3149</v>
      </c>
      <c r="E1384" s="1">
        <v>47321</v>
      </c>
      <c r="F1384" s="2">
        <v>16954</v>
      </c>
    </row>
    <row r="1385" spans="1:6" x14ac:dyDescent="0.3">
      <c r="A1385">
        <v>2022</v>
      </c>
      <c r="B1385" t="s">
        <v>54</v>
      </c>
      <c r="C1385" t="s">
        <v>39</v>
      </c>
      <c r="D1385" s="1">
        <v>16427</v>
      </c>
      <c r="E1385" s="1">
        <v>337857</v>
      </c>
      <c r="F1385" s="2">
        <v>23524</v>
      </c>
    </row>
    <row r="1386" spans="1:6" x14ac:dyDescent="0.3">
      <c r="A1386">
        <v>2022</v>
      </c>
      <c r="B1386" t="s">
        <v>54</v>
      </c>
      <c r="C1386" t="s">
        <v>40</v>
      </c>
      <c r="D1386" s="1">
        <v>62760</v>
      </c>
      <c r="E1386" s="1">
        <v>1354468</v>
      </c>
      <c r="F1386" s="2">
        <v>21861</v>
      </c>
    </row>
    <row r="1387" spans="1:6" x14ac:dyDescent="0.3">
      <c r="A1387">
        <v>2022</v>
      </c>
      <c r="B1387" t="s">
        <v>54</v>
      </c>
      <c r="C1387" t="s">
        <v>41</v>
      </c>
      <c r="D1387" s="1">
        <v>7374</v>
      </c>
      <c r="E1387" s="1">
        <v>148446</v>
      </c>
      <c r="F1387" s="2">
        <v>20121</v>
      </c>
    </row>
    <row r="1388" spans="1:6" x14ac:dyDescent="0.3">
      <c r="A1388">
        <v>2022</v>
      </c>
      <c r="B1388" t="s">
        <v>54</v>
      </c>
      <c r="C1388" t="s">
        <v>42</v>
      </c>
      <c r="D1388" s="1">
        <v>2279</v>
      </c>
      <c r="E1388" s="1">
        <v>37198</v>
      </c>
      <c r="F1388" s="2">
        <v>23107</v>
      </c>
    </row>
    <row r="1389" spans="1:6" x14ac:dyDescent="0.3">
      <c r="A1389">
        <v>2022</v>
      </c>
      <c r="B1389" t="s">
        <v>54</v>
      </c>
      <c r="C1389" t="s">
        <v>43</v>
      </c>
      <c r="D1389" s="1">
        <v>20479</v>
      </c>
      <c r="E1389" s="1">
        <v>406321</v>
      </c>
      <c r="F1389" s="2">
        <v>20678</v>
      </c>
    </row>
    <row r="1390" spans="1:6" x14ac:dyDescent="0.3">
      <c r="A1390">
        <v>2022</v>
      </c>
      <c r="B1390" t="s">
        <v>54</v>
      </c>
      <c r="C1390" t="s">
        <v>44</v>
      </c>
      <c r="D1390" s="1">
        <v>20431</v>
      </c>
      <c r="E1390" s="1">
        <v>335635</v>
      </c>
      <c r="F1390" s="2">
        <v>25357</v>
      </c>
    </row>
    <row r="1391" spans="1:6" x14ac:dyDescent="0.3">
      <c r="A1391">
        <v>2022</v>
      </c>
      <c r="B1391" t="s">
        <v>54</v>
      </c>
      <c r="C1391" t="s">
        <v>45</v>
      </c>
      <c r="D1391" s="1">
        <v>4722</v>
      </c>
      <c r="E1391" s="1">
        <v>74133</v>
      </c>
      <c r="F1391" s="2">
        <v>17916</v>
      </c>
    </row>
    <row r="1392" spans="1:6" x14ac:dyDescent="0.3">
      <c r="A1392">
        <v>2022</v>
      </c>
      <c r="B1392" t="s">
        <v>54</v>
      </c>
      <c r="C1392" t="s">
        <v>46</v>
      </c>
      <c r="D1392" s="1">
        <v>16931</v>
      </c>
      <c r="E1392" s="1">
        <v>282313</v>
      </c>
      <c r="F1392" s="2">
        <v>18305</v>
      </c>
    </row>
    <row r="1393" spans="1:6" x14ac:dyDescent="0.3">
      <c r="A1393">
        <v>2022</v>
      </c>
      <c r="B1393" t="s">
        <v>54</v>
      </c>
      <c r="C1393" t="s">
        <v>47</v>
      </c>
      <c r="D1393" s="1">
        <v>2383</v>
      </c>
      <c r="E1393" s="1">
        <v>36403</v>
      </c>
      <c r="F1393" s="2">
        <v>21270</v>
      </c>
    </row>
    <row r="1394" spans="1:6" x14ac:dyDescent="0.3">
      <c r="A1394">
        <v>2022</v>
      </c>
      <c r="B1394" t="s">
        <v>63</v>
      </c>
      <c r="C1394" t="s">
        <v>0</v>
      </c>
      <c r="D1394" s="1">
        <v>10102</v>
      </c>
      <c r="E1394" s="1">
        <v>46094</v>
      </c>
      <c r="F1394" s="2">
        <v>37839</v>
      </c>
    </row>
    <row r="1395" spans="1:6" x14ac:dyDescent="0.3">
      <c r="A1395">
        <v>2022</v>
      </c>
      <c r="B1395" t="s">
        <v>63</v>
      </c>
      <c r="C1395" t="s">
        <v>1</v>
      </c>
      <c r="D1395" s="1">
        <v>11119</v>
      </c>
      <c r="E1395" s="1">
        <v>75319</v>
      </c>
      <c r="F1395" s="2">
        <v>37697</v>
      </c>
    </row>
    <row r="1396" spans="1:6" x14ac:dyDescent="0.3">
      <c r="A1396">
        <v>2022</v>
      </c>
      <c r="B1396" t="s">
        <v>63</v>
      </c>
      <c r="C1396" t="s">
        <v>2</v>
      </c>
      <c r="D1396" s="1">
        <v>5345</v>
      </c>
      <c r="E1396" s="1">
        <v>24966</v>
      </c>
      <c r="F1396" s="2">
        <v>34843</v>
      </c>
    </row>
    <row r="1397" spans="1:6" x14ac:dyDescent="0.3">
      <c r="A1397">
        <v>2022</v>
      </c>
      <c r="B1397" t="s">
        <v>63</v>
      </c>
      <c r="C1397" t="s">
        <v>3</v>
      </c>
      <c r="D1397" s="1">
        <v>95398</v>
      </c>
      <c r="E1397" s="1">
        <v>541832</v>
      </c>
      <c r="F1397" s="2">
        <v>40668</v>
      </c>
    </row>
    <row r="1398" spans="1:6" x14ac:dyDescent="0.3">
      <c r="A1398">
        <v>2022</v>
      </c>
      <c r="B1398" t="s">
        <v>63</v>
      </c>
      <c r="C1398" t="s">
        <v>4</v>
      </c>
      <c r="D1398" s="1">
        <v>16405</v>
      </c>
      <c r="E1398" s="1">
        <v>82040</v>
      </c>
      <c r="F1398" s="2">
        <v>40987</v>
      </c>
    </row>
    <row r="1399" spans="1:6" x14ac:dyDescent="0.3">
      <c r="A1399">
        <v>2022</v>
      </c>
      <c r="B1399" t="s">
        <v>63</v>
      </c>
      <c r="C1399" t="s">
        <v>5</v>
      </c>
      <c r="D1399" s="1">
        <v>17517</v>
      </c>
      <c r="E1399" s="1">
        <v>66913</v>
      </c>
      <c r="F1399" s="2">
        <v>33615</v>
      </c>
    </row>
    <row r="1400" spans="1:6" x14ac:dyDescent="0.3">
      <c r="A1400">
        <v>2022</v>
      </c>
      <c r="B1400" t="s">
        <v>63</v>
      </c>
      <c r="C1400" t="s">
        <v>6</v>
      </c>
      <c r="D1400" s="1">
        <v>2054</v>
      </c>
      <c r="E1400" s="1">
        <v>11930</v>
      </c>
      <c r="F1400" s="2">
        <v>34259</v>
      </c>
    </row>
    <row r="1401" spans="1:6" x14ac:dyDescent="0.3">
      <c r="A1401">
        <v>2022</v>
      </c>
      <c r="B1401" t="s">
        <v>63</v>
      </c>
      <c r="C1401" t="s">
        <v>7</v>
      </c>
      <c r="D1401" s="1">
        <v>55687</v>
      </c>
      <c r="E1401" s="1">
        <v>279269</v>
      </c>
      <c r="F1401" s="2">
        <v>36402</v>
      </c>
    </row>
    <row r="1402" spans="1:6" x14ac:dyDescent="0.3">
      <c r="A1402">
        <v>2022</v>
      </c>
      <c r="B1402" t="s">
        <v>63</v>
      </c>
      <c r="C1402" t="s">
        <v>8</v>
      </c>
      <c r="D1402" s="1">
        <v>17999</v>
      </c>
      <c r="E1402" s="1">
        <v>108656</v>
      </c>
      <c r="F1402" s="2">
        <v>36377</v>
      </c>
    </row>
    <row r="1403" spans="1:6" x14ac:dyDescent="0.3">
      <c r="A1403">
        <v>2022</v>
      </c>
      <c r="B1403" t="s">
        <v>63</v>
      </c>
      <c r="C1403" t="s">
        <v>9</v>
      </c>
      <c r="D1403" s="1">
        <v>3985</v>
      </c>
      <c r="E1403" s="1">
        <v>18622</v>
      </c>
      <c r="F1403" s="2">
        <v>31284</v>
      </c>
    </row>
    <row r="1404" spans="1:6" x14ac:dyDescent="0.3">
      <c r="A1404">
        <v>2022</v>
      </c>
      <c r="B1404" t="s">
        <v>63</v>
      </c>
      <c r="C1404" t="s">
        <v>10</v>
      </c>
      <c r="D1404" s="1">
        <v>39449</v>
      </c>
      <c r="E1404" s="1">
        <v>208655</v>
      </c>
      <c r="F1404" s="2">
        <v>42392</v>
      </c>
    </row>
    <row r="1405" spans="1:6" x14ac:dyDescent="0.3">
      <c r="A1405">
        <v>2022</v>
      </c>
      <c r="B1405" t="s">
        <v>63</v>
      </c>
      <c r="C1405" t="s">
        <v>11</v>
      </c>
      <c r="D1405" s="1">
        <v>13122</v>
      </c>
      <c r="E1405" s="1">
        <v>87997</v>
      </c>
      <c r="F1405" s="2">
        <v>32900</v>
      </c>
    </row>
    <row r="1406" spans="1:6" x14ac:dyDescent="0.3">
      <c r="A1406">
        <v>2022</v>
      </c>
      <c r="B1406" t="s">
        <v>63</v>
      </c>
      <c r="C1406" t="s">
        <v>12</v>
      </c>
      <c r="D1406" s="1">
        <v>8669</v>
      </c>
      <c r="E1406" s="1">
        <v>42339</v>
      </c>
      <c r="F1406" s="2">
        <v>34313</v>
      </c>
    </row>
    <row r="1407" spans="1:6" x14ac:dyDescent="0.3">
      <c r="A1407">
        <v>2022</v>
      </c>
      <c r="B1407" t="s">
        <v>63</v>
      </c>
      <c r="C1407" t="s">
        <v>13</v>
      </c>
      <c r="D1407" s="1">
        <v>5983</v>
      </c>
      <c r="E1407" s="1">
        <v>33757</v>
      </c>
      <c r="F1407" s="2">
        <v>34478</v>
      </c>
    </row>
    <row r="1408" spans="1:6" x14ac:dyDescent="0.3">
      <c r="A1408">
        <v>2022</v>
      </c>
      <c r="B1408" t="s">
        <v>63</v>
      </c>
      <c r="C1408" t="s">
        <v>14</v>
      </c>
      <c r="D1408" s="1">
        <v>10697</v>
      </c>
      <c r="E1408" s="1">
        <v>46476</v>
      </c>
      <c r="F1408" s="2">
        <v>33616</v>
      </c>
    </row>
    <row r="1409" spans="1:6" x14ac:dyDescent="0.3">
      <c r="A1409">
        <v>2022</v>
      </c>
      <c r="B1409" t="s">
        <v>63</v>
      </c>
      <c r="C1409" t="s">
        <v>15</v>
      </c>
      <c r="D1409" s="1">
        <v>9230</v>
      </c>
      <c r="E1409" s="1">
        <v>45904</v>
      </c>
      <c r="F1409" s="2">
        <v>37854</v>
      </c>
    </row>
    <row r="1410" spans="1:6" x14ac:dyDescent="0.3">
      <c r="A1410">
        <v>2022</v>
      </c>
      <c r="B1410" t="s">
        <v>63</v>
      </c>
      <c r="C1410" t="s">
        <v>16</v>
      </c>
      <c r="D1410" s="1">
        <v>3832</v>
      </c>
      <c r="E1410" s="1">
        <v>18021</v>
      </c>
      <c r="F1410" s="2">
        <v>33967</v>
      </c>
    </row>
    <row r="1411" spans="1:6" x14ac:dyDescent="0.3">
      <c r="A1411">
        <v>2022</v>
      </c>
      <c r="B1411" t="s">
        <v>63</v>
      </c>
      <c r="C1411" t="s">
        <v>17</v>
      </c>
      <c r="D1411" s="1">
        <v>19354</v>
      </c>
      <c r="E1411" s="1">
        <v>91803</v>
      </c>
      <c r="F1411" s="2">
        <v>43222</v>
      </c>
    </row>
    <row r="1412" spans="1:6" x14ac:dyDescent="0.3">
      <c r="A1412">
        <v>2022</v>
      </c>
      <c r="B1412" t="s">
        <v>63</v>
      </c>
      <c r="C1412" t="s">
        <v>18</v>
      </c>
      <c r="D1412" s="1">
        <v>21621</v>
      </c>
      <c r="E1412" s="1">
        <v>119963</v>
      </c>
      <c r="F1412" s="2">
        <v>38569</v>
      </c>
    </row>
    <row r="1413" spans="1:6" x14ac:dyDescent="0.3">
      <c r="A1413">
        <v>2022</v>
      </c>
      <c r="B1413" t="s">
        <v>63</v>
      </c>
      <c r="C1413" t="s">
        <v>19</v>
      </c>
      <c r="D1413" s="1">
        <v>31024</v>
      </c>
      <c r="E1413" s="1">
        <v>139968</v>
      </c>
      <c r="F1413" s="2">
        <v>33275</v>
      </c>
    </row>
    <row r="1414" spans="1:6" x14ac:dyDescent="0.3">
      <c r="A1414">
        <v>2022</v>
      </c>
      <c r="B1414" t="s">
        <v>63</v>
      </c>
      <c r="C1414" t="s">
        <v>20</v>
      </c>
      <c r="D1414" s="1">
        <v>17099</v>
      </c>
      <c r="E1414" s="1">
        <v>90096</v>
      </c>
      <c r="F1414" s="2">
        <v>34221</v>
      </c>
    </row>
    <row r="1415" spans="1:6" x14ac:dyDescent="0.3">
      <c r="A1415">
        <v>2022</v>
      </c>
      <c r="B1415" t="s">
        <v>63</v>
      </c>
      <c r="C1415" t="s">
        <v>21</v>
      </c>
      <c r="D1415" s="1">
        <v>4645</v>
      </c>
      <c r="E1415" s="1">
        <v>21202</v>
      </c>
      <c r="F1415" s="2">
        <v>34491</v>
      </c>
    </row>
    <row r="1416" spans="1:6" x14ac:dyDescent="0.3">
      <c r="A1416">
        <v>2022</v>
      </c>
      <c r="B1416" t="s">
        <v>63</v>
      </c>
      <c r="C1416" t="s">
        <v>22</v>
      </c>
      <c r="D1416" s="1">
        <v>12996</v>
      </c>
      <c r="E1416" s="1">
        <v>75350</v>
      </c>
      <c r="F1416" s="2">
        <v>34075</v>
      </c>
    </row>
    <row r="1417" spans="1:6" x14ac:dyDescent="0.3">
      <c r="A1417">
        <v>2022</v>
      </c>
      <c r="B1417" t="s">
        <v>63</v>
      </c>
      <c r="C1417" t="s">
        <v>23</v>
      </c>
      <c r="D1417" s="1">
        <v>4285</v>
      </c>
      <c r="E1417" s="1">
        <v>18301</v>
      </c>
      <c r="F1417" s="2">
        <v>30293</v>
      </c>
    </row>
    <row r="1418" spans="1:6" x14ac:dyDescent="0.3">
      <c r="A1418">
        <v>2022</v>
      </c>
      <c r="B1418" t="s">
        <v>63</v>
      </c>
      <c r="C1418" t="s">
        <v>24</v>
      </c>
      <c r="D1418" s="1">
        <v>4614</v>
      </c>
      <c r="E1418" s="1">
        <v>25333</v>
      </c>
      <c r="F1418" s="2">
        <v>32212</v>
      </c>
    </row>
    <row r="1419" spans="1:6" x14ac:dyDescent="0.3">
      <c r="A1419">
        <v>2022</v>
      </c>
      <c r="B1419" t="s">
        <v>63</v>
      </c>
      <c r="C1419" t="s">
        <v>25</v>
      </c>
      <c r="D1419" s="1">
        <v>5080</v>
      </c>
      <c r="E1419" s="1">
        <v>34964</v>
      </c>
      <c r="F1419" s="2">
        <v>37484</v>
      </c>
    </row>
    <row r="1420" spans="1:6" x14ac:dyDescent="0.3">
      <c r="A1420">
        <v>2022</v>
      </c>
      <c r="B1420" t="s">
        <v>63</v>
      </c>
      <c r="C1420" t="s">
        <v>26</v>
      </c>
      <c r="D1420" s="1">
        <v>3934</v>
      </c>
      <c r="E1420" s="1">
        <v>20991</v>
      </c>
      <c r="F1420" s="2">
        <v>37927</v>
      </c>
    </row>
    <row r="1421" spans="1:6" x14ac:dyDescent="0.3">
      <c r="A1421">
        <v>2022</v>
      </c>
      <c r="B1421" t="s">
        <v>63</v>
      </c>
      <c r="C1421" t="s">
        <v>27</v>
      </c>
      <c r="D1421" s="1">
        <v>24105</v>
      </c>
      <c r="E1421" s="1">
        <v>135824</v>
      </c>
      <c r="F1421" s="2">
        <v>36518</v>
      </c>
    </row>
    <row r="1422" spans="1:6" x14ac:dyDescent="0.3">
      <c r="A1422">
        <v>2022</v>
      </c>
      <c r="B1422" t="s">
        <v>63</v>
      </c>
      <c r="C1422" t="s">
        <v>28</v>
      </c>
      <c r="D1422" s="1">
        <v>4073</v>
      </c>
      <c r="E1422" s="1">
        <v>20964</v>
      </c>
      <c r="F1422" s="2">
        <v>34365</v>
      </c>
    </row>
    <row r="1423" spans="1:6" x14ac:dyDescent="0.3">
      <c r="A1423">
        <v>2022</v>
      </c>
      <c r="B1423" t="s">
        <v>63</v>
      </c>
      <c r="C1423" t="s">
        <v>29</v>
      </c>
      <c r="D1423" s="1">
        <v>73275</v>
      </c>
      <c r="E1423" s="1">
        <v>370268</v>
      </c>
      <c r="F1423" s="2">
        <v>41910</v>
      </c>
    </row>
    <row r="1424" spans="1:6" x14ac:dyDescent="0.3">
      <c r="A1424">
        <v>2022</v>
      </c>
      <c r="B1424" t="s">
        <v>63</v>
      </c>
      <c r="C1424" t="s">
        <v>30</v>
      </c>
      <c r="D1424" s="1">
        <v>23444</v>
      </c>
      <c r="E1424" s="1">
        <v>109986</v>
      </c>
      <c r="F1424" s="2">
        <v>35102</v>
      </c>
    </row>
    <row r="1425" spans="1:6" x14ac:dyDescent="0.3">
      <c r="A1425">
        <v>2022</v>
      </c>
      <c r="B1425" t="s">
        <v>63</v>
      </c>
      <c r="C1425" t="s">
        <v>31</v>
      </c>
      <c r="D1425" s="1">
        <v>2051</v>
      </c>
      <c r="E1425" s="1">
        <v>11307</v>
      </c>
      <c r="F1425" s="2">
        <v>37216</v>
      </c>
    </row>
    <row r="1426" spans="1:6" x14ac:dyDescent="0.3">
      <c r="A1426">
        <v>2022</v>
      </c>
      <c r="B1426" t="s">
        <v>63</v>
      </c>
      <c r="C1426" t="s">
        <v>32</v>
      </c>
      <c r="D1426" s="1">
        <v>23542</v>
      </c>
      <c r="E1426" s="1">
        <v>156685</v>
      </c>
      <c r="F1426" s="2">
        <v>34001</v>
      </c>
    </row>
    <row r="1427" spans="1:6" x14ac:dyDescent="0.3">
      <c r="A1427">
        <v>2022</v>
      </c>
      <c r="B1427" t="s">
        <v>63</v>
      </c>
      <c r="C1427" t="s">
        <v>33</v>
      </c>
      <c r="D1427" s="1">
        <v>6640</v>
      </c>
      <c r="E1427" s="1">
        <v>36417</v>
      </c>
      <c r="F1427" s="2">
        <v>35221</v>
      </c>
    </row>
    <row r="1428" spans="1:6" x14ac:dyDescent="0.3">
      <c r="A1428">
        <v>2022</v>
      </c>
      <c r="B1428" t="s">
        <v>63</v>
      </c>
      <c r="C1428" t="s">
        <v>34</v>
      </c>
      <c r="D1428" s="1">
        <v>24302</v>
      </c>
      <c r="E1428" s="1">
        <v>77296</v>
      </c>
      <c r="F1428" s="2">
        <v>34031</v>
      </c>
    </row>
    <row r="1429" spans="1:6" x14ac:dyDescent="0.3">
      <c r="A1429">
        <v>2022</v>
      </c>
      <c r="B1429" t="s">
        <v>63</v>
      </c>
      <c r="C1429" t="s">
        <v>35</v>
      </c>
      <c r="D1429" s="1">
        <v>32530</v>
      </c>
      <c r="E1429" s="1">
        <v>199883</v>
      </c>
      <c r="F1429" s="2">
        <v>33988</v>
      </c>
    </row>
    <row r="1430" spans="1:6" x14ac:dyDescent="0.3">
      <c r="A1430">
        <v>2022</v>
      </c>
      <c r="B1430" t="s">
        <v>63</v>
      </c>
      <c r="C1430" t="s">
        <v>36</v>
      </c>
      <c r="D1430" s="1">
        <v>3459</v>
      </c>
      <c r="E1430" s="1">
        <v>17990</v>
      </c>
      <c r="F1430" s="2">
        <v>33322</v>
      </c>
    </row>
    <row r="1431" spans="1:6" x14ac:dyDescent="0.3">
      <c r="A1431">
        <v>2022</v>
      </c>
      <c r="B1431" t="s">
        <v>63</v>
      </c>
      <c r="C1431" t="s">
        <v>37</v>
      </c>
      <c r="D1431" s="1">
        <v>11329</v>
      </c>
      <c r="E1431" s="1">
        <v>53632</v>
      </c>
      <c r="F1431" s="2">
        <v>32985</v>
      </c>
    </row>
    <row r="1432" spans="1:6" x14ac:dyDescent="0.3">
      <c r="A1432">
        <v>2022</v>
      </c>
      <c r="B1432" t="s">
        <v>63</v>
      </c>
      <c r="C1432" t="s">
        <v>38</v>
      </c>
      <c r="D1432" s="1">
        <v>2201</v>
      </c>
      <c r="E1432" s="1">
        <v>11149</v>
      </c>
      <c r="F1432" s="2">
        <v>32874</v>
      </c>
    </row>
    <row r="1433" spans="1:6" x14ac:dyDescent="0.3">
      <c r="A1433">
        <v>2022</v>
      </c>
      <c r="B1433" t="s">
        <v>63</v>
      </c>
      <c r="C1433" t="s">
        <v>39</v>
      </c>
      <c r="D1433" s="1">
        <v>15494</v>
      </c>
      <c r="E1433" s="1">
        <v>78706</v>
      </c>
      <c r="F1433" s="2">
        <v>35137</v>
      </c>
    </row>
    <row r="1434" spans="1:6" x14ac:dyDescent="0.3">
      <c r="A1434">
        <v>2022</v>
      </c>
      <c r="B1434" t="s">
        <v>63</v>
      </c>
      <c r="C1434" t="s">
        <v>40</v>
      </c>
      <c r="D1434" s="1">
        <v>56598</v>
      </c>
      <c r="E1434" s="1">
        <v>334126</v>
      </c>
      <c r="F1434" s="2">
        <v>39429</v>
      </c>
    </row>
    <row r="1435" spans="1:6" x14ac:dyDescent="0.3">
      <c r="A1435">
        <v>2022</v>
      </c>
      <c r="B1435" t="s">
        <v>63</v>
      </c>
      <c r="C1435" t="s">
        <v>41</v>
      </c>
      <c r="D1435" s="1">
        <v>6320</v>
      </c>
      <c r="E1435" s="1">
        <v>36120</v>
      </c>
      <c r="F1435" s="2">
        <v>35627</v>
      </c>
    </row>
    <row r="1436" spans="1:6" x14ac:dyDescent="0.3">
      <c r="A1436">
        <v>2022</v>
      </c>
      <c r="B1436" t="s">
        <v>63</v>
      </c>
      <c r="C1436" t="s">
        <v>42</v>
      </c>
      <c r="D1436" s="1">
        <v>1954</v>
      </c>
      <c r="E1436" s="1">
        <v>8748</v>
      </c>
      <c r="F1436" s="2">
        <v>36288</v>
      </c>
    </row>
    <row r="1437" spans="1:6" x14ac:dyDescent="0.3">
      <c r="A1437">
        <v>2022</v>
      </c>
      <c r="B1437" t="s">
        <v>63</v>
      </c>
      <c r="C1437" t="s">
        <v>43</v>
      </c>
      <c r="D1437" s="1">
        <v>36204</v>
      </c>
      <c r="E1437" s="1">
        <v>145640</v>
      </c>
      <c r="F1437" s="2">
        <v>42804</v>
      </c>
    </row>
    <row r="1438" spans="1:6" x14ac:dyDescent="0.3">
      <c r="A1438">
        <v>2022</v>
      </c>
      <c r="B1438" t="s">
        <v>63</v>
      </c>
      <c r="C1438" t="s">
        <v>44</v>
      </c>
      <c r="D1438" s="1">
        <v>19893</v>
      </c>
      <c r="E1438" s="1">
        <v>99054</v>
      </c>
      <c r="F1438" s="2">
        <v>40310</v>
      </c>
    </row>
    <row r="1439" spans="1:6" x14ac:dyDescent="0.3">
      <c r="A1439">
        <v>2022</v>
      </c>
      <c r="B1439" t="s">
        <v>63</v>
      </c>
      <c r="C1439" t="s">
        <v>45</v>
      </c>
      <c r="D1439" s="1">
        <v>5536</v>
      </c>
      <c r="E1439" s="1">
        <v>19873</v>
      </c>
      <c r="F1439" s="2">
        <v>31425</v>
      </c>
    </row>
    <row r="1440" spans="1:6" x14ac:dyDescent="0.3">
      <c r="A1440">
        <v>2022</v>
      </c>
      <c r="B1440" t="s">
        <v>63</v>
      </c>
      <c r="C1440" t="s">
        <v>46</v>
      </c>
      <c r="D1440" s="1">
        <v>14009</v>
      </c>
      <c r="E1440" s="1">
        <v>84183</v>
      </c>
      <c r="F1440" s="2">
        <v>30593</v>
      </c>
    </row>
    <row r="1441" spans="1:6" x14ac:dyDescent="0.3">
      <c r="A1441">
        <v>2022</v>
      </c>
      <c r="B1441" t="s">
        <v>63</v>
      </c>
      <c r="C1441" t="s">
        <v>47</v>
      </c>
      <c r="D1441" s="1">
        <v>1664</v>
      </c>
      <c r="E1441" s="1">
        <v>7261</v>
      </c>
      <c r="F1441" s="2">
        <v>37155</v>
      </c>
    </row>
    <row r="1442" spans="1:6" x14ac:dyDescent="0.3">
      <c r="A1442">
        <v>2021</v>
      </c>
      <c r="B1442" t="s">
        <v>55</v>
      </c>
      <c r="C1442" t="s">
        <v>0</v>
      </c>
      <c r="D1442" s="1">
        <v>1815</v>
      </c>
      <c r="E1442" s="1">
        <v>17999</v>
      </c>
      <c r="F1442" s="2">
        <v>52748</v>
      </c>
    </row>
    <row r="1443" spans="1:6" x14ac:dyDescent="0.3">
      <c r="A1443">
        <v>2021</v>
      </c>
      <c r="B1443" t="s">
        <v>55</v>
      </c>
      <c r="C1443" t="s">
        <v>1</v>
      </c>
      <c r="D1443" s="1">
        <v>1257</v>
      </c>
      <c r="E1443" s="1">
        <v>37216</v>
      </c>
      <c r="F1443" s="2">
        <v>47116</v>
      </c>
    </row>
    <row r="1444" spans="1:6" x14ac:dyDescent="0.3">
      <c r="A1444">
        <v>2021</v>
      </c>
      <c r="B1444" t="s">
        <v>55</v>
      </c>
      <c r="C1444" t="s">
        <v>2</v>
      </c>
      <c r="D1444" s="1">
        <v>2551</v>
      </c>
      <c r="E1444" s="1">
        <v>16476</v>
      </c>
      <c r="F1444" s="2">
        <v>46191</v>
      </c>
    </row>
    <row r="1445" spans="1:6" x14ac:dyDescent="0.3">
      <c r="A1445">
        <v>2021</v>
      </c>
      <c r="B1445" t="s">
        <v>55</v>
      </c>
      <c r="C1445" t="s">
        <v>3</v>
      </c>
      <c r="D1445" s="1">
        <v>17021</v>
      </c>
      <c r="E1445" s="1">
        <v>441460</v>
      </c>
      <c r="F1445" s="2">
        <v>37249</v>
      </c>
    </row>
    <row r="1446" spans="1:6" x14ac:dyDescent="0.3">
      <c r="A1446">
        <v>2021</v>
      </c>
      <c r="B1446" t="s">
        <v>55</v>
      </c>
      <c r="C1446" t="s">
        <v>4</v>
      </c>
      <c r="D1446" s="1">
        <v>3202</v>
      </c>
      <c r="E1446" s="1">
        <v>43394</v>
      </c>
      <c r="F1446" s="2">
        <v>84161</v>
      </c>
    </row>
    <row r="1447" spans="1:6" x14ac:dyDescent="0.3">
      <c r="A1447">
        <v>2021</v>
      </c>
      <c r="B1447" t="s">
        <v>55</v>
      </c>
      <c r="C1447" t="s">
        <v>5</v>
      </c>
      <c r="D1447">
        <v>433</v>
      </c>
      <c r="E1447" s="1">
        <v>5305</v>
      </c>
      <c r="F1447" s="2">
        <v>40017</v>
      </c>
    </row>
    <row r="1448" spans="1:6" x14ac:dyDescent="0.3">
      <c r="A1448">
        <v>2021</v>
      </c>
      <c r="B1448" t="s">
        <v>55</v>
      </c>
      <c r="C1448" t="s">
        <v>6</v>
      </c>
      <c r="D1448">
        <v>177</v>
      </c>
      <c r="E1448" s="1">
        <v>1538</v>
      </c>
      <c r="F1448" s="2">
        <v>39651</v>
      </c>
    </row>
    <row r="1449" spans="1:6" x14ac:dyDescent="0.3">
      <c r="A1449">
        <v>2021</v>
      </c>
      <c r="B1449" t="s">
        <v>55</v>
      </c>
      <c r="C1449" t="s">
        <v>7</v>
      </c>
      <c r="D1449" s="1">
        <v>5285</v>
      </c>
      <c r="E1449" s="1">
        <v>75471</v>
      </c>
      <c r="F1449" s="2">
        <v>32773</v>
      </c>
    </row>
    <row r="1450" spans="1:6" x14ac:dyDescent="0.3">
      <c r="A1450">
        <v>2021</v>
      </c>
      <c r="B1450" t="s">
        <v>55</v>
      </c>
      <c r="C1450" t="s">
        <v>8</v>
      </c>
      <c r="D1450" s="1">
        <v>2594</v>
      </c>
      <c r="E1450" s="1">
        <v>29299</v>
      </c>
      <c r="F1450" s="2">
        <v>41048</v>
      </c>
    </row>
    <row r="1451" spans="1:6" x14ac:dyDescent="0.3">
      <c r="A1451">
        <v>2021</v>
      </c>
      <c r="B1451" t="s">
        <v>55</v>
      </c>
      <c r="C1451" t="s">
        <v>9</v>
      </c>
      <c r="D1451" s="1">
        <v>2448</v>
      </c>
      <c r="E1451" s="1">
        <v>26790</v>
      </c>
      <c r="F1451" s="2">
        <v>38417</v>
      </c>
    </row>
    <row r="1452" spans="1:6" x14ac:dyDescent="0.3">
      <c r="A1452">
        <v>2021</v>
      </c>
      <c r="B1452" t="s">
        <v>55</v>
      </c>
      <c r="C1452" t="s">
        <v>10</v>
      </c>
      <c r="D1452" s="1">
        <v>2730</v>
      </c>
      <c r="E1452" s="1">
        <v>26665</v>
      </c>
      <c r="F1452" s="2">
        <v>48549</v>
      </c>
    </row>
    <row r="1453" spans="1:6" x14ac:dyDescent="0.3">
      <c r="A1453">
        <v>2021</v>
      </c>
      <c r="B1453" t="s">
        <v>55</v>
      </c>
      <c r="C1453" t="s">
        <v>11</v>
      </c>
      <c r="D1453" s="1">
        <v>2183</v>
      </c>
      <c r="E1453" s="1">
        <v>21072</v>
      </c>
      <c r="F1453" s="2">
        <v>47269</v>
      </c>
    </row>
    <row r="1454" spans="1:6" x14ac:dyDescent="0.3">
      <c r="A1454">
        <v>2021</v>
      </c>
      <c r="B1454" t="s">
        <v>55</v>
      </c>
      <c r="C1454" t="s">
        <v>12</v>
      </c>
      <c r="D1454" s="1">
        <v>2766</v>
      </c>
      <c r="E1454" s="1">
        <v>22503</v>
      </c>
      <c r="F1454" s="2">
        <v>41388</v>
      </c>
    </row>
    <row r="1455" spans="1:6" x14ac:dyDescent="0.3">
      <c r="A1455">
        <v>2021</v>
      </c>
      <c r="B1455" t="s">
        <v>55</v>
      </c>
      <c r="C1455" t="s">
        <v>13</v>
      </c>
      <c r="D1455" s="1">
        <v>2686</v>
      </c>
      <c r="E1455" s="1">
        <v>19024</v>
      </c>
      <c r="F1455" s="2">
        <v>45105</v>
      </c>
    </row>
    <row r="1456" spans="1:6" x14ac:dyDescent="0.3">
      <c r="A1456">
        <v>2021</v>
      </c>
      <c r="B1456" t="s">
        <v>55</v>
      </c>
      <c r="C1456" t="s">
        <v>14</v>
      </c>
      <c r="D1456" s="1">
        <v>1584</v>
      </c>
      <c r="E1456" s="1">
        <v>18306</v>
      </c>
      <c r="F1456" s="2">
        <v>54943</v>
      </c>
    </row>
    <row r="1457" spans="1:6" x14ac:dyDescent="0.3">
      <c r="A1457">
        <v>2021</v>
      </c>
      <c r="B1457" t="s">
        <v>55</v>
      </c>
      <c r="C1457" t="s">
        <v>15</v>
      </c>
      <c r="D1457" s="1">
        <v>3082</v>
      </c>
      <c r="E1457" s="1">
        <v>42251</v>
      </c>
      <c r="F1457" s="2">
        <v>80128</v>
      </c>
    </row>
    <row r="1458" spans="1:6" x14ac:dyDescent="0.3">
      <c r="A1458">
        <v>2021</v>
      </c>
      <c r="B1458" t="s">
        <v>55</v>
      </c>
      <c r="C1458" t="s">
        <v>16</v>
      </c>
      <c r="D1458" s="1">
        <v>1370</v>
      </c>
      <c r="E1458" s="1">
        <v>6817</v>
      </c>
      <c r="F1458" s="2">
        <v>40118</v>
      </c>
    </row>
    <row r="1459" spans="1:6" x14ac:dyDescent="0.3">
      <c r="A1459">
        <v>2021</v>
      </c>
      <c r="B1459" t="s">
        <v>55</v>
      </c>
      <c r="C1459" t="s">
        <v>17</v>
      </c>
      <c r="D1459">
        <v>723</v>
      </c>
      <c r="E1459" s="1">
        <v>6432</v>
      </c>
      <c r="F1459" s="2">
        <v>42478</v>
      </c>
    </row>
    <row r="1460" spans="1:6" x14ac:dyDescent="0.3">
      <c r="A1460">
        <v>2021</v>
      </c>
      <c r="B1460" t="s">
        <v>55</v>
      </c>
      <c r="C1460" t="s">
        <v>18</v>
      </c>
      <c r="D1460" s="1">
        <v>1030</v>
      </c>
      <c r="E1460" s="1">
        <v>9290</v>
      </c>
      <c r="F1460" s="2">
        <v>61286</v>
      </c>
    </row>
    <row r="1461" spans="1:6" x14ac:dyDescent="0.3">
      <c r="A1461">
        <v>2021</v>
      </c>
      <c r="B1461" t="s">
        <v>55</v>
      </c>
      <c r="C1461" t="s">
        <v>19</v>
      </c>
      <c r="D1461" s="1">
        <v>3203</v>
      </c>
      <c r="E1461" s="1">
        <v>36801</v>
      </c>
      <c r="F1461" s="2">
        <v>38160</v>
      </c>
    </row>
    <row r="1462" spans="1:6" x14ac:dyDescent="0.3">
      <c r="A1462">
        <v>2021</v>
      </c>
      <c r="B1462" t="s">
        <v>55</v>
      </c>
      <c r="C1462" t="s">
        <v>20</v>
      </c>
      <c r="D1462" s="1">
        <v>2992</v>
      </c>
      <c r="E1462" s="1">
        <v>27804</v>
      </c>
      <c r="F1462" s="2">
        <v>47599</v>
      </c>
    </row>
    <row r="1463" spans="1:6" x14ac:dyDescent="0.3">
      <c r="A1463">
        <v>2021</v>
      </c>
      <c r="B1463" t="s">
        <v>55</v>
      </c>
      <c r="C1463" t="s">
        <v>21</v>
      </c>
      <c r="D1463" s="1">
        <v>2168</v>
      </c>
      <c r="E1463" s="1">
        <v>16360</v>
      </c>
      <c r="F1463" s="2">
        <v>45681</v>
      </c>
    </row>
    <row r="1464" spans="1:6" x14ac:dyDescent="0.3">
      <c r="A1464">
        <v>2021</v>
      </c>
      <c r="B1464" t="s">
        <v>55</v>
      </c>
      <c r="C1464" t="s">
        <v>22</v>
      </c>
      <c r="D1464" s="1">
        <v>1950</v>
      </c>
      <c r="E1464" s="1">
        <v>16365</v>
      </c>
      <c r="F1464" s="2">
        <v>42894</v>
      </c>
    </row>
    <row r="1465" spans="1:6" x14ac:dyDescent="0.3">
      <c r="A1465">
        <v>2021</v>
      </c>
      <c r="B1465" t="s">
        <v>55</v>
      </c>
      <c r="C1465" t="s">
        <v>23</v>
      </c>
      <c r="D1465" s="1">
        <v>1753</v>
      </c>
      <c r="E1465" s="1">
        <v>11976</v>
      </c>
      <c r="F1465" s="2">
        <v>64781</v>
      </c>
    </row>
    <row r="1466" spans="1:6" x14ac:dyDescent="0.3">
      <c r="A1466">
        <v>2021</v>
      </c>
      <c r="B1466" t="s">
        <v>55</v>
      </c>
      <c r="C1466" t="s">
        <v>24</v>
      </c>
      <c r="D1466" s="1">
        <v>2337</v>
      </c>
      <c r="E1466" s="1">
        <v>15500</v>
      </c>
      <c r="F1466" s="2">
        <v>39544</v>
      </c>
    </row>
    <row r="1467" spans="1:6" x14ac:dyDescent="0.3">
      <c r="A1467">
        <v>2021</v>
      </c>
      <c r="B1467" t="s">
        <v>55</v>
      </c>
      <c r="C1467" t="s">
        <v>25</v>
      </c>
      <c r="D1467">
        <v>612</v>
      </c>
      <c r="E1467" s="1">
        <v>17902</v>
      </c>
      <c r="F1467" s="2">
        <v>82999</v>
      </c>
    </row>
    <row r="1468" spans="1:6" x14ac:dyDescent="0.3">
      <c r="A1468">
        <v>2021</v>
      </c>
      <c r="B1468" t="s">
        <v>55</v>
      </c>
      <c r="C1468" t="s">
        <v>26</v>
      </c>
      <c r="D1468">
        <v>350</v>
      </c>
      <c r="E1468" s="1">
        <v>2556</v>
      </c>
      <c r="F1468" s="2">
        <v>41972</v>
      </c>
    </row>
    <row r="1469" spans="1:6" x14ac:dyDescent="0.3">
      <c r="A1469">
        <v>2021</v>
      </c>
      <c r="B1469" t="s">
        <v>55</v>
      </c>
      <c r="C1469" t="s">
        <v>27</v>
      </c>
      <c r="D1469" s="1">
        <v>1018</v>
      </c>
      <c r="E1469" s="1">
        <v>12853</v>
      </c>
      <c r="F1469" s="2">
        <v>37279</v>
      </c>
    </row>
    <row r="1470" spans="1:6" x14ac:dyDescent="0.3">
      <c r="A1470">
        <v>2021</v>
      </c>
      <c r="B1470" t="s">
        <v>55</v>
      </c>
      <c r="C1470" t="s">
        <v>28</v>
      </c>
      <c r="D1470" s="1">
        <v>1991</v>
      </c>
      <c r="E1470" s="1">
        <v>32275</v>
      </c>
      <c r="F1470" s="2">
        <v>59989</v>
      </c>
    </row>
    <row r="1471" spans="1:6" x14ac:dyDescent="0.3">
      <c r="A1471">
        <v>2021</v>
      </c>
      <c r="B1471" t="s">
        <v>55</v>
      </c>
      <c r="C1471" t="s">
        <v>29</v>
      </c>
      <c r="D1471" s="1">
        <v>3023</v>
      </c>
      <c r="E1471" s="1">
        <v>30834</v>
      </c>
      <c r="F1471" s="2">
        <v>39487</v>
      </c>
    </row>
    <row r="1472" spans="1:6" x14ac:dyDescent="0.3">
      <c r="A1472">
        <v>2021</v>
      </c>
      <c r="B1472" t="s">
        <v>55</v>
      </c>
      <c r="C1472" t="s">
        <v>30</v>
      </c>
      <c r="D1472" s="1">
        <v>3306</v>
      </c>
      <c r="E1472" s="1">
        <v>30981</v>
      </c>
      <c r="F1472" s="2">
        <v>37636</v>
      </c>
    </row>
    <row r="1473" spans="1:6" x14ac:dyDescent="0.3">
      <c r="A1473">
        <v>2021</v>
      </c>
      <c r="B1473" t="s">
        <v>55</v>
      </c>
      <c r="C1473" t="s">
        <v>31</v>
      </c>
      <c r="D1473" s="1">
        <v>1771</v>
      </c>
      <c r="E1473" s="1">
        <v>22394</v>
      </c>
      <c r="F1473" s="2">
        <v>89578</v>
      </c>
    </row>
    <row r="1474" spans="1:6" x14ac:dyDescent="0.3">
      <c r="A1474">
        <v>2021</v>
      </c>
      <c r="B1474" t="s">
        <v>55</v>
      </c>
      <c r="C1474" t="s">
        <v>32</v>
      </c>
      <c r="D1474" s="1">
        <v>2483</v>
      </c>
      <c r="E1474" s="1">
        <v>27504</v>
      </c>
      <c r="F1474" s="2">
        <v>48849</v>
      </c>
    </row>
    <row r="1475" spans="1:6" x14ac:dyDescent="0.3">
      <c r="A1475">
        <v>2021</v>
      </c>
      <c r="B1475" t="s">
        <v>55</v>
      </c>
      <c r="C1475" t="s">
        <v>33</v>
      </c>
      <c r="D1475" s="1">
        <v>4333</v>
      </c>
      <c r="E1475" s="1">
        <v>58716</v>
      </c>
      <c r="F1475" s="2">
        <v>88899</v>
      </c>
    </row>
    <row r="1476" spans="1:6" x14ac:dyDescent="0.3">
      <c r="A1476">
        <v>2021</v>
      </c>
      <c r="B1476" t="s">
        <v>55</v>
      </c>
      <c r="C1476" t="s">
        <v>34</v>
      </c>
      <c r="D1476" s="1">
        <v>4453</v>
      </c>
      <c r="E1476" s="1">
        <v>52439</v>
      </c>
      <c r="F1476" s="2">
        <v>35362</v>
      </c>
    </row>
    <row r="1477" spans="1:6" x14ac:dyDescent="0.3">
      <c r="A1477">
        <v>2021</v>
      </c>
      <c r="B1477" t="s">
        <v>55</v>
      </c>
      <c r="C1477" t="s">
        <v>35</v>
      </c>
      <c r="D1477" s="1">
        <v>3498</v>
      </c>
      <c r="E1477" s="1">
        <v>50197</v>
      </c>
      <c r="F1477" s="2">
        <v>63021</v>
      </c>
    </row>
    <row r="1478" spans="1:6" x14ac:dyDescent="0.3">
      <c r="A1478">
        <v>2021</v>
      </c>
      <c r="B1478" t="s">
        <v>55</v>
      </c>
      <c r="C1478" t="s">
        <v>37</v>
      </c>
      <c r="D1478" s="1">
        <v>1230</v>
      </c>
      <c r="E1478" s="1">
        <v>12432</v>
      </c>
      <c r="F1478" s="2">
        <v>40520</v>
      </c>
    </row>
    <row r="1479" spans="1:6" x14ac:dyDescent="0.3">
      <c r="A1479">
        <v>2021</v>
      </c>
      <c r="B1479" t="s">
        <v>55</v>
      </c>
      <c r="C1479" t="s">
        <v>38</v>
      </c>
      <c r="D1479" s="1">
        <v>1026</v>
      </c>
      <c r="E1479" s="1">
        <v>6646</v>
      </c>
      <c r="F1479" s="2">
        <v>41459</v>
      </c>
    </row>
    <row r="1480" spans="1:6" x14ac:dyDescent="0.3">
      <c r="A1480">
        <v>2021</v>
      </c>
      <c r="B1480" t="s">
        <v>55</v>
      </c>
      <c r="C1480" t="s">
        <v>39</v>
      </c>
      <c r="D1480" s="1">
        <v>1071</v>
      </c>
      <c r="E1480" s="1">
        <v>10750</v>
      </c>
      <c r="F1480" s="2">
        <v>43908</v>
      </c>
    </row>
    <row r="1481" spans="1:6" x14ac:dyDescent="0.3">
      <c r="A1481">
        <v>2021</v>
      </c>
      <c r="B1481" t="s">
        <v>55</v>
      </c>
      <c r="C1481" t="s">
        <v>40</v>
      </c>
      <c r="D1481" s="1">
        <v>19580</v>
      </c>
      <c r="E1481" s="1">
        <v>281110</v>
      </c>
      <c r="F1481" s="2">
        <v>107415</v>
      </c>
    </row>
    <row r="1482" spans="1:6" x14ac:dyDescent="0.3">
      <c r="A1482">
        <v>2021</v>
      </c>
      <c r="B1482" t="s">
        <v>55</v>
      </c>
      <c r="C1482" t="s">
        <v>41</v>
      </c>
      <c r="D1482" s="1">
        <v>1034</v>
      </c>
      <c r="E1482" s="1">
        <v>14217</v>
      </c>
      <c r="F1482" s="2">
        <v>59120</v>
      </c>
    </row>
    <row r="1483" spans="1:6" x14ac:dyDescent="0.3">
      <c r="A1483">
        <v>2021</v>
      </c>
      <c r="B1483" t="s">
        <v>55</v>
      </c>
      <c r="C1483" t="s">
        <v>42</v>
      </c>
      <c r="D1483">
        <v>551</v>
      </c>
      <c r="E1483" s="1">
        <v>3901</v>
      </c>
      <c r="F1483" s="2">
        <v>37223</v>
      </c>
    </row>
    <row r="1484" spans="1:6" x14ac:dyDescent="0.3">
      <c r="A1484">
        <v>2021</v>
      </c>
      <c r="B1484" t="s">
        <v>55</v>
      </c>
      <c r="C1484" t="s">
        <v>43</v>
      </c>
      <c r="D1484" s="1">
        <v>2061</v>
      </c>
      <c r="E1484" s="1">
        <v>19558</v>
      </c>
      <c r="F1484" s="2">
        <v>44371</v>
      </c>
    </row>
    <row r="1485" spans="1:6" x14ac:dyDescent="0.3">
      <c r="A1485">
        <v>2021</v>
      </c>
      <c r="B1485" t="s">
        <v>55</v>
      </c>
      <c r="C1485" t="s">
        <v>44</v>
      </c>
      <c r="D1485" s="1">
        <v>7493</v>
      </c>
      <c r="E1485" s="1">
        <v>107674</v>
      </c>
      <c r="F1485" s="2">
        <v>32082</v>
      </c>
    </row>
    <row r="1486" spans="1:6" x14ac:dyDescent="0.3">
      <c r="A1486">
        <v>2021</v>
      </c>
      <c r="B1486" t="s">
        <v>55</v>
      </c>
      <c r="C1486" t="s">
        <v>45</v>
      </c>
      <c r="D1486" s="1">
        <v>1221</v>
      </c>
      <c r="E1486" s="1">
        <v>22793</v>
      </c>
      <c r="F1486" s="2">
        <v>76848</v>
      </c>
    </row>
    <row r="1487" spans="1:6" x14ac:dyDescent="0.3">
      <c r="A1487">
        <v>2021</v>
      </c>
      <c r="B1487" t="s">
        <v>55</v>
      </c>
      <c r="C1487" t="s">
        <v>46</v>
      </c>
      <c r="D1487" s="1">
        <v>2865</v>
      </c>
      <c r="E1487" s="1">
        <v>31986</v>
      </c>
      <c r="F1487" s="2">
        <v>37981</v>
      </c>
    </row>
    <row r="1488" spans="1:6" x14ac:dyDescent="0.3">
      <c r="A1488">
        <v>2021</v>
      </c>
      <c r="B1488" t="s">
        <v>55</v>
      </c>
      <c r="C1488" t="s">
        <v>47</v>
      </c>
      <c r="D1488" s="1">
        <v>1442</v>
      </c>
      <c r="E1488" s="1">
        <v>22390</v>
      </c>
      <c r="F1488" s="2">
        <v>81163</v>
      </c>
    </row>
    <row r="1489" spans="1:6" x14ac:dyDescent="0.3">
      <c r="A1489">
        <v>2021</v>
      </c>
      <c r="B1489" t="s">
        <v>56</v>
      </c>
      <c r="C1489" t="s">
        <v>0</v>
      </c>
      <c r="D1489" s="1">
        <v>9645</v>
      </c>
      <c r="E1489" s="1">
        <v>85262</v>
      </c>
      <c r="F1489" s="2">
        <v>52230</v>
      </c>
    </row>
    <row r="1490" spans="1:6" x14ac:dyDescent="0.3">
      <c r="A1490">
        <v>2021</v>
      </c>
      <c r="B1490" t="s">
        <v>56</v>
      </c>
      <c r="C1490" t="s">
        <v>1</v>
      </c>
      <c r="D1490" s="1">
        <v>11368</v>
      </c>
      <c r="E1490" s="1">
        <v>144747</v>
      </c>
      <c r="F1490" s="2">
        <v>53440</v>
      </c>
    </row>
    <row r="1491" spans="1:6" x14ac:dyDescent="0.3">
      <c r="A1491">
        <v>2021</v>
      </c>
      <c r="B1491" t="s">
        <v>56</v>
      </c>
      <c r="C1491" t="s">
        <v>2</v>
      </c>
      <c r="D1491" s="1">
        <v>6817</v>
      </c>
      <c r="E1491" s="1">
        <v>51130</v>
      </c>
      <c r="F1491" s="2">
        <v>47283</v>
      </c>
    </row>
    <row r="1492" spans="1:6" x14ac:dyDescent="0.3">
      <c r="A1492">
        <v>2021</v>
      </c>
      <c r="B1492" t="s">
        <v>56</v>
      </c>
      <c r="C1492" t="s">
        <v>3</v>
      </c>
      <c r="D1492" s="1">
        <v>72972</v>
      </c>
      <c r="E1492" s="1">
        <v>805942</v>
      </c>
      <c r="F1492" s="2">
        <v>67561</v>
      </c>
    </row>
    <row r="1493" spans="1:6" x14ac:dyDescent="0.3">
      <c r="A1493">
        <v>2021</v>
      </c>
      <c r="B1493" t="s">
        <v>56</v>
      </c>
      <c r="C1493" t="s">
        <v>4</v>
      </c>
      <c r="D1493" s="1">
        <v>19243</v>
      </c>
      <c r="E1493" s="1">
        <v>163473</v>
      </c>
      <c r="F1493" s="2">
        <v>59444</v>
      </c>
    </row>
    <row r="1494" spans="1:6" x14ac:dyDescent="0.3">
      <c r="A1494">
        <v>2021</v>
      </c>
      <c r="B1494" t="s">
        <v>56</v>
      </c>
      <c r="C1494" t="s">
        <v>5</v>
      </c>
      <c r="D1494" s="1">
        <v>9351</v>
      </c>
      <c r="E1494" s="1">
        <v>58327</v>
      </c>
      <c r="F1494" s="2">
        <v>68641</v>
      </c>
    </row>
    <row r="1495" spans="1:6" x14ac:dyDescent="0.3">
      <c r="A1495">
        <v>2021</v>
      </c>
      <c r="B1495" t="s">
        <v>56</v>
      </c>
      <c r="C1495" t="s">
        <v>6</v>
      </c>
      <c r="D1495" s="1">
        <v>2777</v>
      </c>
      <c r="E1495" s="1">
        <v>21591</v>
      </c>
      <c r="F1495" s="2">
        <v>59040</v>
      </c>
    </row>
    <row r="1496" spans="1:6" x14ac:dyDescent="0.3">
      <c r="A1496">
        <v>2021</v>
      </c>
      <c r="B1496" t="s">
        <v>56</v>
      </c>
      <c r="C1496" t="s">
        <v>7</v>
      </c>
      <c r="D1496" s="1">
        <v>67384</v>
      </c>
      <c r="E1496" s="1">
        <v>503704</v>
      </c>
      <c r="F1496" s="2">
        <v>49256</v>
      </c>
    </row>
    <row r="1497" spans="1:6" x14ac:dyDescent="0.3">
      <c r="A1497">
        <v>2021</v>
      </c>
      <c r="B1497" t="s">
        <v>56</v>
      </c>
      <c r="C1497" t="s">
        <v>8</v>
      </c>
      <c r="D1497" s="1">
        <v>20135</v>
      </c>
      <c r="E1497" s="1">
        <v>182259</v>
      </c>
      <c r="F1497" s="2">
        <v>58213</v>
      </c>
    </row>
    <row r="1498" spans="1:6" x14ac:dyDescent="0.3">
      <c r="A1498">
        <v>2021</v>
      </c>
      <c r="B1498" t="s">
        <v>56</v>
      </c>
      <c r="C1498" t="s">
        <v>9</v>
      </c>
      <c r="D1498" s="1">
        <v>7660</v>
      </c>
      <c r="E1498" s="1">
        <v>42668</v>
      </c>
      <c r="F1498" s="2">
        <v>42865</v>
      </c>
    </row>
    <row r="1499" spans="1:6" x14ac:dyDescent="0.3">
      <c r="A1499">
        <v>2021</v>
      </c>
      <c r="B1499" t="s">
        <v>56</v>
      </c>
      <c r="C1499" t="s">
        <v>10</v>
      </c>
      <c r="D1499" s="1">
        <v>31422</v>
      </c>
      <c r="E1499" s="1">
        <v>220019</v>
      </c>
      <c r="F1499" s="2">
        <v>70893</v>
      </c>
    </row>
    <row r="1500" spans="1:6" x14ac:dyDescent="0.3">
      <c r="A1500">
        <v>2021</v>
      </c>
      <c r="B1500" t="s">
        <v>56</v>
      </c>
      <c r="C1500" t="s">
        <v>11</v>
      </c>
      <c r="D1500" s="1">
        <v>14839</v>
      </c>
      <c r="E1500" s="1">
        <v>138040</v>
      </c>
      <c r="F1500" s="2">
        <v>57099</v>
      </c>
    </row>
    <row r="1501" spans="1:6" x14ac:dyDescent="0.3">
      <c r="A1501">
        <v>2021</v>
      </c>
      <c r="B1501" t="s">
        <v>56</v>
      </c>
      <c r="C1501" t="s">
        <v>12</v>
      </c>
      <c r="D1501" s="1">
        <v>9417</v>
      </c>
      <c r="E1501" s="1">
        <v>76086</v>
      </c>
      <c r="F1501" s="2">
        <v>55415</v>
      </c>
    </row>
    <row r="1502" spans="1:6" x14ac:dyDescent="0.3">
      <c r="A1502">
        <v>2021</v>
      </c>
      <c r="B1502" t="s">
        <v>56</v>
      </c>
      <c r="C1502" t="s">
        <v>13</v>
      </c>
      <c r="D1502" s="1">
        <v>7584</v>
      </c>
      <c r="E1502" s="1">
        <v>60238</v>
      </c>
      <c r="F1502" s="2">
        <v>52807</v>
      </c>
    </row>
    <row r="1503" spans="1:6" x14ac:dyDescent="0.3">
      <c r="A1503">
        <v>2021</v>
      </c>
      <c r="B1503" t="s">
        <v>56</v>
      </c>
      <c r="C1503" t="s">
        <v>14</v>
      </c>
      <c r="D1503" s="1">
        <v>9339</v>
      </c>
      <c r="E1503" s="1">
        <v>77332</v>
      </c>
      <c r="F1503" s="2">
        <v>53194</v>
      </c>
    </row>
    <row r="1504" spans="1:6" x14ac:dyDescent="0.3">
      <c r="A1504">
        <v>2021</v>
      </c>
      <c r="B1504" t="s">
        <v>56</v>
      </c>
      <c r="C1504" t="s">
        <v>15</v>
      </c>
      <c r="D1504" s="1">
        <v>10825</v>
      </c>
      <c r="E1504" s="1">
        <v>147021</v>
      </c>
      <c r="F1504" s="2">
        <v>61781</v>
      </c>
    </row>
    <row r="1505" spans="1:6" x14ac:dyDescent="0.3">
      <c r="A1505">
        <v>2021</v>
      </c>
      <c r="B1505" t="s">
        <v>56</v>
      </c>
      <c r="C1505" t="s">
        <v>16</v>
      </c>
      <c r="D1505" s="1">
        <v>5502</v>
      </c>
      <c r="E1505" s="1">
        <v>28253</v>
      </c>
      <c r="F1505" s="2">
        <v>47930</v>
      </c>
    </row>
    <row r="1506" spans="1:6" x14ac:dyDescent="0.3">
      <c r="A1506">
        <v>2021</v>
      </c>
      <c r="B1506" t="s">
        <v>56</v>
      </c>
      <c r="C1506" t="s">
        <v>17</v>
      </c>
      <c r="D1506" s="1">
        <v>16463</v>
      </c>
      <c r="E1506" s="1">
        <v>162140</v>
      </c>
      <c r="F1506" s="2">
        <v>65027</v>
      </c>
    </row>
    <row r="1507" spans="1:6" x14ac:dyDescent="0.3">
      <c r="A1507">
        <v>2021</v>
      </c>
      <c r="B1507" t="s">
        <v>56</v>
      </c>
      <c r="C1507" t="s">
        <v>18</v>
      </c>
      <c r="D1507" s="1">
        <v>21055</v>
      </c>
      <c r="E1507" s="1">
        <v>152131</v>
      </c>
      <c r="F1507" s="2">
        <v>75405</v>
      </c>
    </row>
    <row r="1508" spans="1:6" x14ac:dyDescent="0.3">
      <c r="A1508">
        <v>2021</v>
      </c>
      <c r="B1508" t="s">
        <v>56</v>
      </c>
      <c r="C1508" t="s">
        <v>19</v>
      </c>
      <c r="D1508" s="1">
        <v>19544</v>
      </c>
      <c r="E1508" s="1">
        <v>161903</v>
      </c>
      <c r="F1508" s="2">
        <v>61511</v>
      </c>
    </row>
    <row r="1509" spans="1:6" x14ac:dyDescent="0.3">
      <c r="A1509">
        <v>2021</v>
      </c>
      <c r="B1509" t="s">
        <v>56</v>
      </c>
      <c r="C1509" t="s">
        <v>20</v>
      </c>
      <c r="D1509" s="1">
        <v>15746</v>
      </c>
      <c r="E1509" s="1">
        <v>119642</v>
      </c>
      <c r="F1509" s="2">
        <v>65464</v>
      </c>
    </row>
    <row r="1510" spans="1:6" x14ac:dyDescent="0.3">
      <c r="A1510">
        <v>2021</v>
      </c>
      <c r="B1510" t="s">
        <v>56</v>
      </c>
      <c r="C1510" t="s">
        <v>21</v>
      </c>
      <c r="D1510" s="1">
        <v>5670</v>
      </c>
      <c r="E1510" s="1">
        <v>43467</v>
      </c>
      <c r="F1510" s="2">
        <v>48782</v>
      </c>
    </row>
    <row r="1511" spans="1:6" x14ac:dyDescent="0.3">
      <c r="A1511">
        <v>2021</v>
      </c>
      <c r="B1511" t="s">
        <v>56</v>
      </c>
      <c r="C1511" t="s">
        <v>22</v>
      </c>
      <c r="D1511" s="1">
        <v>15141</v>
      </c>
      <c r="E1511" s="1">
        <v>123034</v>
      </c>
      <c r="F1511" s="2">
        <v>57823</v>
      </c>
    </row>
    <row r="1512" spans="1:6" x14ac:dyDescent="0.3">
      <c r="A1512">
        <v>2021</v>
      </c>
      <c r="B1512" t="s">
        <v>56</v>
      </c>
      <c r="C1512" t="s">
        <v>23</v>
      </c>
      <c r="D1512" s="1">
        <v>6287</v>
      </c>
      <c r="E1512" s="1">
        <v>27712</v>
      </c>
      <c r="F1512" s="2">
        <v>50369</v>
      </c>
    </row>
    <row r="1513" spans="1:6" x14ac:dyDescent="0.3">
      <c r="A1513">
        <v>2021</v>
      </c>
      <c r="B1513" t="s">
        <v>56</v>
      </c>
      <c r="C1513" t="s">
        <v>24</v>
      </c>
      <c r="D1513" s="1">
        <v>7053</v>
      </c>
      <c r="E1513" s="1">
        <v>51174</v>
      </c>
      <c r="F1513" s="2">
        <v>49634</v>
      </c>
    </row>
    <row r="1514" spans="1:6" x14ac:dyDescent="0.3">
      <c r="A1514">
        <v>2021</v>
      </c>
      <c r="B1514" t="s">
        <v>56</v>
      </c>
      <c r="C1514" t="s">
        <v>25</v>
      </c>
      <c r="D1514" s="1">
        <v>5859</v>
      </c>
      <c r="E1514" s="1">
        <v>82998</v>
      </c>
      <c r="F1514" s="2">
        <v>58071</v>
      </c>
    </row>
    <row r="1515" spans="1:6" x14ac:dyDescent="0.3">
      <c r="A1515">
        <v>2021</v>
      </c>
      <c r="B1515" t="s">
        <v>56</v>
      </c>
      <c r="C1515" t="s">
        <v>26</v>
      </c>
      <c r="D1515" s="1">
        <v>4363</v>
      </c>
      <c r="E1515" s="1">
        <v>26466</v>
      </c>
      <c r="F1515" s="2">
        <v>61497</v>
      </c>
    </row>
    <row r="1516" spans="1:6" x14ac:dyDescent="0.3">
      <c r="A1516">
        <v>2021</v>
      </c>
      <c r="B1516" t="s">
        <v>56</v>
      </c>
      <c r="C1516" t="s">
        <v>27</v>
      </c>
      <c r="D1516" s="1">
        <v>21672</v>
      </c>
      <c r="E1516" s="1">
        <v>154907</v>
      </c>
      <c r="F1516" s="2">
        <v>71145</v>
      </c>
    </row>
    <row r="1517" spans="1:6" x14ac:dyDescent="0.3">
      <c r="A1517">
        <v>2021</v>
      </c>
      <c r="B1517" t="s">
        <v>56</v>
      </c>
      <c r="C1517" t="s">
        <v>28</v>
      </c>
      <c r="D1517" s="1">
        <v>5141</v>
      </c>
      <c r="E1517" s="1">
        <v>45511</v>
      </c>
      <c r="F1517" s="2">
        <v>46369</v>
      </c>
    </row>
    <row r="1518" spans="1:6" x14ac:dyDescent="0.3">
      <c r="A1518">
        <v>2021</v>
      </c>
      <c r="B1518" t="s">
        <v>56</v>
      </c>
      <c r="C1518" t="s">
        <v>29</v>
      </c>
      <c r="D1518" s="1">
        <v>50064</v>
      </c>
      <c r="E1518" s="1">
        <v>386615</v>
      </c>
      <c r="F1518" s="2">
        <v>71408</v>
      </c>
    </row>
    <row r="1519" spans="1:6" x14ac:dyDescent="0.3">
      <c r="A1519">
        <v>2021</v>
      </c>
      <c r="B1519" t="s">
        <v>56</v>
      </c>
      <c r="C1519" t="s">
        <v>30</v>
      </c>
      <c r="D1519" s="1">
        <v>26057</v>
      </c>
      <c r="E1519" s="1">
        <v>208662</v>
      </c>
      <c r="F1519" s="2">
        <v>52372</v>
      </c>
    </row>
    <row r="1520" spans="1:6" x14ac:dyDescent="0.3">
      <c r="A1520">
        <v>2021</v>
      </c>
      <c r="B1520" t="s">
        <v>56</v>
      </c>
      <c r="C1520" t="s">
        <v>31</v>
      </c>
      <c r="D1520" s="1">
        <v>4035</v>
      </c>
      <c r="E1520" s="1">
        <v>26732</v>
      </c>
      <c r="F1520" s="2">
        <v>63029</v>
      </c>
    </row>
    <row r="1521" spans="1:6" x14ac:dyDescent="0.3">
      <c r="A1521">
        <v>2021</v>
      </c>
      <c r="B1521" t="s">
        <v>56</v>
      </c>
      <c r="C1521" t="s">
        <v>32</v>
      </c>
      <c r="D1521" s="1">
        <v>23022</v>
      </c>
      <c r="E1521" s="1">
        <v>217025</v>
      </c>
      <c r="F1521" s="2">
        <v>60831</v>
      </c>
    </row>
    <row r="1522" spans="1:6" x14ac:dyDescent="0.3">
      <c r="A1522">
        <v>2021</v>
      </c>
      <c r="B1522" t="s">
        <v>56</v>
      </c>
      <c r="C1522" t="s">
        <v>33</v>
      </c>
      <c r="D1522" s="1">
        <v>9823</v>
      </c>
      <c r="E1522" s="1">
        <v>77247</v>
      </c>
      <c r="F1522" s="2">
        <v>50585</v>
      </c>
    </row>
    <row r="1523" spans="1:6" x14ac:dyDescent="0.3">
      <c r="A1523">
        <v>2021</v>
      </c>
      <c r="B1523" t="s">
        <v>56</v>
      </c>
      <c r="C1523" t="s">
        <v>34</v>
      </c>
      <c r="D1523" s="1">
        <v>13468</v>
      </c>
      <c r="E1523" s="1">
        <v>96991</v>
      </c>
      <c r="F1523" s="2">
        <v>57987</v>
      </c>
    </row>
    <row r="1524" spans="1:6" x14ac:dyDescent="0.3">
      <c r="A1524">
        <v>2021</v>
      </c>
      <c r="B1524" t="s">
        <v>56</v>
      </c>
      <c r="C1524" t="s">
        <v>35</v>
      </c>
      <c r="D1524" s="1">
        <v>28397</v>
      </c>
      <c r="E1524" s="1">
        <v>248932</v>
      </c>
      <c r="F1524" s="2">
        <v>64769</v>
      </c>
    </row>
    <row r="1525" spans="1:6" x14ac:dyDescent="0.3">
      <c r="A1525">
        <v>2021</v>
      </c>
      <c r="B1525" t="s">
        <v>56</v>
      </c>
      <c r="C1525" t="s">
        <v>37</v>
      </c>
      <c r="D1525" s="1">
        <v>11635</v>
      </c>
      <c r="E1525" s="1">
        <v>100817</v>
      </c>
      <c r="F1525" s="2">
        <v>53542</v>
      </c>
    </row>
    <row r="1526" spans="1:6" x14ac:dyDescent="0.3">
      <c r="A1526">
        <v>2021</v>
      </c>
      <c r="B1526" t="s">
        <v>56</v>
      </c>
      <c r="C1526" t="s">
        <v>38</v>
      </c>
      <c r="D1526" s="1">
        <v>3883</v>
      </c>
      <c r="E1526" s="1">
        <v>22351</v>
      </c>
      <c r="F1526" s="2">
        <v>47385</v>
      </c>
    </row>
    <row r="1527" spans="1:6" x14ac:dyDescent="0.3">
      <c r="A1527">
        <v>2021</v>
      </c>
      <c r="B1527" t="s">
        <v>56</v>
      </c>
      <c r="C1527" t="s">
        <v>39</v>
      </c>
      <c r="D1527" s="1">
        <v>11745</v>
      </c>
      <c r="E1527" s="1">
        <v>119968</v>
      </c>
      <c r="F1527" s="2">
        <v>56642</v>
      </c>
    </row>
    <row r="1528" spans="1:6" x14ac:dyDescent="0.3">
      <c r="A1528">
        <v>2021</v>
      </c>
      <c r="B1528" t="s">
        <v>56</v>
      </c>
      <c r="C1528" t="s">
        <v>40</v>
      </c>
      <c r="D1528" s="1">
        <v>49310</v>
      </c>
      <c r="E1528" s="1">
        <v>711119</v>
      </c>
      <c r="F1528" s="2">
        <v>63219</v>
      </c>
    </row>
    <row r="1529" spans="1:6" x14ac:dyDescent="0.3">
      <c r="A1529">
        <v>2021</v>
      </c>
      <c r="B1529" t="s">
        <v>56</v>
      </c>
      <c r="C1529" t="s">
        <v>41</v>
      </c>
      <c r="D1529" s="1">
        <v>10886</v>
      </c>
      <c r="E1529" s="1">
        <v>97495</v>
      </c>
      <c r="F1529" s="2">
        <v>49132</v>
      </c>
    </row>
    <row r="1530" spans="1:6" x14ac:dyDescent="0.3">
      <c r="A1530">
        <v>2021</v>
      </c>
      <c r="B1530" t="s">
        <v>56</v>
      </c>
      <c r="C1530" t="s">
        <v>42</v>
      </c>
      <c r="D1530" s="1">
        <v>2865</v>
      </c>
      <c r="E1530" s="1">
        <v>15187</v>
      </c>
      <c r="F1530" s="2">
        <v>50125</v>
      </c>
    </row>
    <row r="1531" spans="1:6" x14ac:dyDescent="0.3">
      <c r="A1531">
        <v>2021</v>
      </c>
      <c r="B1531" t="s">
        <v>56</v>
      </c>
      <c r="C1531" t="s">
        <v>43</v>
      </c>
      <c r="D1531" s="1">
        <v>21256</v>
      </c>
      <c r="E1531" s="1">
        <v>192576</v>
      </c>
      <c r="F1531" s="2">
        <v>56166</v>
      </c>
    </row>
    <row r="1532" spans="1:6" x14ac:dyDescent="0.3">
      <c r="A1532">
        <v>2021</v>
      </c>
      <c r="B1532" t="s">
        <v>56</v>
      </c>
      <c r="C1532" t="s">
        <v>44</v>
      </c>
      <c r="D1532" s="1">
        <v>25279</v>
      </c>
      <c r="E1532" s="1">
        <v>187247</v>
      </c>
      <c r="F1532" s="2">
        <v>61249</v>
      </c>
    </row>
    <row r="1533" spans="1:6" x14ac:dyDescent="0.3">
      <c r="A1533">
        <v>2021</v>
      </c>
      <c r="B1533" t="s">
        <v>56</v>
      </c>
      <c r="C1533" t="s">
        <v>45</v>
      </c>
      <c r="D1533" s="1">
        <v>4402</v>
      </c>
      <c r="E1533" s="1">
        <v>31522</v>
      </c>
      <c r="F1533" s="2">
        <v>57987</v>
      </c>
    </row>
    <row r="1534" spans="1:6" x14ac:dyDescent="0.3">
      <c r="A1534">
        <v>2021</v>
      </c>
      <c r="B1534" t="s">
        <v>56</v>
      </c>
      <c r="C1534" t="s">
        <v>46</v>
      </c>
      <c r="D1534" s="1">
        <v>14158</v>
      </c>
      <c r="E1534" s="1">
        <v>117226</v>
      </c>
      <c r="F1534" s="2">
        <v>60136</v>
      </c>
    </row>
    <row r="1535" spans="1:6" x14ac:dyDescent="0.3">
      <c r="A1535">
        <v>2021</v>
      </c>
      <c r="B1535" t="s">
        <v>56</v>
      </c>
      <c r="C1535" t="s">
        <v>47</v>
      </c>
      <c r="D1535" s="1">
        <v>3427</v>
      </c>
      <c r="E1535" s="1">
        <v>19573</v>
      </c>
      <c r="F1535" s="2">
        <v>50877</v>
      </c>
    </row>
    <row r="1536" spans="1:6" x14ac:dyDescent="0.3">
      <c r="A1536">
        <v>2021</v>
      </c>
      <c r="B1536" t="s">
        <v>57</v>
      </c>
      <c r="C1536" t="s">
        <v>0</v>
      </c>
      <c r="D1536" s="1">
        <v>5447</v>
      </c>
      <c r="E1536" s="1">
        <v>263487</v>
      </c>
      <c r="F1536" s="2">
        <v>55197</v>
      </c>
    </row>
    <row r="1537" spans="1:6" x14ac:dyDescent="0.3">
      <c r="A1537">
        <v>2021</v>
      </c>
      <c r="B1537" t="s">
        <v>57</v>
      </c>
      <c r="C1537" t="s">
        <v>1</v>
      </c>
      <c r="D1537" s="1">
        <v>4657</v>
      </c>
      <c r="E1537" s="1">
        <v>162399</v>
      </c>
      <c r="F1537" s="2">
        <v>73528</v>
      </c>
    </row>
    <row r="1538" spans="1:6" x14ac:dyDescent="0.3">
      <c r="A1538">
        <v>2021</v>
      </c>
      <c r="B1538" t="s">
        <v>57</v>
      </c>
      <c r="C1538" t="s">
        <v>2</v>
      </c>
      <c r="D1538" s="1">
        <v>2928</v>
      </c>
      <c r="E1538" s="1">
        <v>157305</v>
      </c>
      <c r="F1538" s="2">
        <v>46766</v>
      </c>
    </row>
    <row r="1539" spans="1:6" x14ac:dyDescent="0.3">
      <c r="A1539">
        <v>2021</v>
      </c>
      <c r="B1539" t="s">
        <v>57</v>
      </c>
      <c r="C1539" t="s">
        <v>3</v>
      </c>
      <c r="D1539" s="1">
        <v>42215</v>
      </c>
      <c r="E1539" s="1">
        <v>1303550</v>
      </c>
      <c r="F1539" s="2">
        <v>92246</v>
      </c>
    </row>
    <row r="1540" spans="1:6" x14ac:dyDescent="0.3">
      <c r="A1540">
        <v>2021</v>
      </c>
      <c r="B1540" t="s">
        <v>57</v>
      </c>
      <c r="C1540" t="s">
        <v>4</v>
      </c>
      <c r="D1540" s="1">
        <v>5750</v>
      </c>
      <c r="E1540" s="1">
        <v>144067</v>
      </c>
      <c r="F1540" s="2">
        <v>69446</v>
      </c>
    </row>
    <row r="1541" spans="1:6" x14ac:dyDescent="0.3">
      <c r="A1541">
        <v>2021</v>
      </c>
      <c r="B1541" t="s">
        <v>57</v>
      </c>
      <c r="C1541" t="s">
        <v>5</v>
      </c>
      <c r="D1541" s="1">
        <v>4460</v>
      </c>
      <c r="E1541" s="1">
        <v>158891</v>
      </c>
      <c r="F1541" s="2">
        <v>81864</v>
      </c>
    </row>
    <row r="1542" spans="1:6" x14ac:dyDescent="0.3">
      <c r="A1542">
        <v>2021</v>
      </c>
      <c r="B1542" t="s">
        <v>57</v>
      </c>
      <c r="C1542" t="s">
        <v>6</v>
      </c>
      <c r="D1542">
        <v>688</v>
      </c>
      <c r="E1542" s="1">
        <v>25928</v>
      </c>
      <c r="F1542" s="2">
        <v>62417</v>
      </c>
    </row>
    <row r="1543" spans="1:6" x14ac:dyDescent="0.3">
      <c r="A1543">
        <v>2021</v>
      </c>
      <c r="B1543" t="s">
        <v>57</v>
      </c>
      <c r="C1543" t="s">
        <v>7</v>
      </c>
      <c r="D1543" s="1">
        <v>20513</v>
      </c>
      <c r="E1543" s="1">
        <v>363137</v>
      </c>
      <c r="F1543" s="2">
        <v>59389</v>
      </c>
    </row>
    <row r="1544" spans="1:6" x14ac:dyDescent="0.3">
      <c r="A1544">
        <v>2021</v>
      </c>
      <c r="B1544" t="s">
        <v>57</v>
      </c>
      <c r="C1544" t="s">
        <v>8</v>
      </c>
      <c r="D1544" s="1">
        <v>9745</v>
      </c>
      <c r="E1544" s="1">
        <v>395916</v>
      </c>
      <c r="F1544" s="2">
        <v>57889</v>
      </c>
    </row>
    <row r="1545" spans="1:6" x14ac:dyDescent="0.3">
      <c r="A1545">
        <v>2021</v>
      </c>
      <c r="B1545" t="s">
        <v>57</v>
      </c>
      <c r="C1545" t="s">
        <v>9</v>
      </c>
      <c r="D1545" s="1">
        <v>2750</v>
      </c>
      <c r="E1545" s="1">
        <v>66056</v>
      </c>
      <c r="F1545" s="2">
        <v>61543</v>
      </c>
    </row>
    <row r="1546" spans="1:6" x14ac:dyDescent="0.3">
      <c r="A1546">
        <v>2021</v>
      </c>
      <c r="B1546" t="s">
        <v>57</v>
      </c>
      <c r="C1546" t="s">
        <v>10</v>
      </c>
      <c r="D1546" s="1">
        <v>17979</v>
      </c>
      <c r="E1546" s="1">
        <v>574692</v>
      </c>
      <c r="F1546" s="2">
        <v>70174</v>
      </c>
    </row>
    <row r="1547" spans="1:6" x14ac:dyDescent="0.3">
      <c r="A1547">
        <v>2021</v>
      </c>
      <c r="B1547" t="s">
        <v>57</v>
      </c>
      <c r="C1547" t="s">
        <v>11</v>
      </c>
      <c r="D1547" s="1">
        <v>8554</v>
      </c>
      <c r="E1547" s="1">
        <v>531312</v>
      </c>
      <c r="F1547" s="2">
        <v>61118</v>
      </c>
    </row>
    <row r="1548" spans="1:6" x14ac:dyDescent="0.3">
      <c r="A1548">
        <v>2021</v>
      </c>
      <c r="B1548" t="s">
        <v>57</v>
      </c>
      <c r="C1548" t="s">
        <v>12</v>
      </c>
      <c r="D1548" s="1">
        <v>4125</v>
      </c>
      <c r="E1548" s="1">
        <v>215910</v>
      </c>
      <c r="F1548" s="2">
        <v>58617</v>
      </c>
    </row>
    <row r="1549" spans="1:6" x14ac:dyDescent="0.3">
      <c r="A1549">
        <v>2021</v>
      </c>
      <c r="B1549" t="s">
        <v>57</v>
      </c>
      <c r="C1549" t="s">
        <v>13</v>
      </c>
      <c r="D1549" s="1">
        <v>3164</v>
      </c>
      <c r="E1549" s="1">
        <v>161517</v>
      </c>
      <c r="F1549" s="2">
        <v>57532</v>
      </c>
    </row>
    <row r="1550" spans="1:6" x14ac:dyDescent="0.3">
      <c r="A1550">
        <v>2021</v>
      </c>
      <c r="B1550" t="s">
        <v>57</v>
      </c>
      <c r="C1550" t="s">
        <v>14</v>
      </c>
      <c r="D1550" s="1">
        <v>4368</v>
      </c>
      <c r="E1550" s="1">
        <v>250180</v>
      </c>
      <c r="F1550" s="2">
        <v>58143</v>
      </c>
    </row>
    <row r="1551" spans="1:6" x14ac:dyDescent="0.3">
      <c r="A1551">
        <v>2021</v>
      </c>
      <c r="B1551" t="s">
        <v>57</v>
      </c>
      <c r="C1551" t="s">
        <v>15</v>
      </c>
      <c r="D1551" s="1">
        <v>4464</v>
      </c>
      <c r="E1551" s="1">
        <v>134680</v>
      </c>
      <c r="F1551" s="2">
        <v>72604</v>
      </c>
    </row>
    <row r="1552" spans="1:6" x14ac:dyDescent="0.3">
      <c r="A1552">
        <v>2021</v>
      </c>
      <c r="B1552" t="s">
        <v>57</v>
      </c>
      <c r="C1552" t="s">
        <v>16</v>
      </c>
      <c r="D1552" s="1">
        <v>1877</v>
      </c>
      <c r="E1552" s="1">
        <v>50911</v>
      </c>
      <c r="F1552" s="2">
        <v>55458</v>
      </c>
    </row>
    <row r="1553" spans="1:6" x14ac:dyDescent="0.3">
      <c r="A1553">
        <v>2021</v>
      </c>
      <c r="B1553" t="s">
        <v>57</v>
      </c>
      <c r="C1553" t="s">
        <v>17</v>
      </c>
      <c r="D1553" s="1">
        <v>3901</v>
      </c>
      <c r="E1553" s="1">
        <v>106864</v>
      </c>
      <c r="F1553" s="2">
        <v>77289</v>
      </c>
    </row>
    <row r="1554" spans="1:6" x14ac:dyDescent="0.3">
      <c r="A1554">
        <v>2021</v>
      </c>
      <c r="B1554" t="s">
        <v>57</v>
      </c>
      <c r="C1554" t="s">
        <v>18</v>
      </c>
      <c r="D1554" s="1">
        <v>6850</v>
      </c>
      <c r="E1554" s="1">
        <v>244647</v>
      </c>
      <c r="F1554" s="2">
        <v>88132</v>
      </c>
    </row>
    <row r="1555" spans="1:6" x14ac:dyDescent="0.3">
      <c r="A1555">
        <v>2021</v>
      </c>
      <c r="B1555" t="s">
        <v>57</v>
      </c>
      <c r="C1555" t="s">
        <v>19</v>
      </c>
      <c r="D1555" s="1">
        <v>15721</v>
      </c>
      <c r="E1555" s="1">
        <v>615106</v>
      </c>
      <c r="F1555" s="2">
        <v>66395</v>
      </c>
    </row>
    <row r="1556" spans="1:6" x14ac:dyDescent="0.3">
      <c r="A1556">
        <v>2021</v>
      </c>
      <c r="B1556" t="s">
        <v>57</v>
      </c>
      <c r="C1556" t="s">
        <v>20</v>
      </c>
      <c r="D1556" s="1">
        <v>8369</v>
      </c>
      <c r="E1556" s="1">
        <v>319035</v>
      </c>
      <c r="F1556" s="2">
        <v>65734</v>
      </c>
    </row>
    <row r="1557" spans="1:6" x14ac:dyDescent="0.3">
      <c r="A1557">
        <v>2021</v>
      </c>
      <c r="B1557" t="s">
        <v>57</v>
      </c>
      <c r="C1557" t="s">
        <v>21</v>
      </c>
      <c r="D1557" s="1">
        <v>2441</v>
      </c>
      <c r="E1557" s="1">
        <v>144047</v>
      </c>
      <c r="F1557" s="2">
        <v>48199</v>
      </c>
    </row>
    <row r="1558" spans="1:6" x14ac:dyDescent="0.3">
      <c r="A1558">
        <v>2021</v>
      </c>
      <c r="B1558" t="s">
        <v>57</v>
      </c>
      <c r="C1558" t="s">
        <v>22</v>
      </c>
      <c r="D1558" s="1">
        <v>6636</v>
      </c>
      <c r="E1558" s="1">
        <v>265863</v>
      </c>
      <c r="F1558" s="2">
        <v>57139</v>
      </c>
    </row>
    <row r="1559" spans="1:6" x14ac:dyDescent="0.3">
      <c r="A1559">
        <v>2021</v>
      </c>
      <c r="B1559" t="s">
        <v>57</v>
      </c>
      <c r="C1559" t="s">
        <v>23</v>
      </c>
      <c r="D1559" s="1">
        <v>1572</v>
      </c>
      <c r="E1559" s="1">
        <v>19893</v>
      </c>
      <c r="F1559" s="2">
        <v>48758</v>
      </c>
    </row>
    <row r="1560" spans="1:6" x14ac:dyDescent="0.3">
      <c r="A1560">
        <v>2021</v>
      </c>
      <c r="B1560" t="s">
        <v>57</v>
      </c>
      <c r="C1560" t="s">
        <v>24</v>
      </c>
      <c r="D1560" s="1">
        <v>1977</v>
      </c>
      <c r="E1560" s="1">
        <v>98082</v>
      </c>
      <c r="F1560" s="2">
        <v>49568</v>
      </c>
    </row>
    <row r="1561" spans="1:6" x14ac:dyDescent="0.3">
      <c r="A1561">
        <v>2021</v>
      </c>
      <c r="B1561" t="s">
        <v>57</v>
      </c>
      <c r="C1561" t="s">
        <v>25</v>
      </c>
      <c r="D1561" s="1">
        <v>2043</v>
      </c>
      <c r="E1561" s="1">
        <v>47800</v>
      </c>
      <c r="F1561" s="2">
        <v>56486</v>
      </c>
    </row>
    <row r="1562" spans="1:6" x14ac:dyDescent="0.3">
      <c r="A1562">
        <v>2021</v>
      </c>
      <c r="B1562" t="s">
        <v>57</v>
      </c>
      <c r="C1562" t="s">
        <v>26</v>
      </c>
      <c r="D1562" s="1">
        <v>2011</v>
      </c>
      <c r="E1562" s="1">
        <v>68971</v>
      </c>
      <c r="F1562" s="2">
        <v>70482</v>
      </c>
    </row>
    <row r="1563" spans="1:6" x14ac:dyDescent="0.3">
      <c r="A1563">
        <v>2021</v>
      </c>
      <c r="B1563" t="s">
        <v>57</v>
      </c>
      <c r="C1563" t="s">
        <v>27</v>
      </c>
      <c r="D1563" s="1">
        <v>8962</v>
      </c>
      <c r="E1563" s="1">
        <v>242476</v>
      </c>
      <c r="F1563" s="2">
        <v>78813</v>
      </c>
    </row>
    <row r="1564" spans="1:6" x14ac:dyDescent="0.3">
      <c r="A1564">
        <v>2021</v>
      </c>
      <c r="B1564" t="s">
        <v>57</v>
      </c>
      <c r="C1564" t="s">
        <v>28</v>
      </c>
      <c r="D1564" s="1">
        <v>1724</v>
      </c>
      <c r="E1564" s="1">
        <v>26398</v>
      </c>
      <c r="F1564" s="2">
        <v>53328</v>
      </c>
    </row>
    <row r="1565" spans="1:6" x14ac:dyDescent="0.3">
      <c r="A1565">
        <v>2021</v>
      </c>
      <c r="B1565" t="s">
        <v>57</v>
      </c>
      <c r="C1565" t="s">
        <v>29</v>
      </c>
      <c r="D1565" s="1">
        <v>17319</v>
      </c>
      <c r="E1565" s="1">
        <v>444182</v>
      </c>
      <c r="F1565" s="2">
        <v>65899</v>
      </c>
    </row>
    <row r="1566" spans="1:6" x14ac:dyDescent="0.3">
      <c r="A1566">
        <v>2021</v>
      </c>
      <c r="B1566" t="s">
        <v>57</v>
      </c>
      <c r="C1566" t="s">
        <v>30</v>
      </c>
      <c r="D1566" s="1">
        <v>10287</v>
      </c>
      <c r="E1566" s="1">
        <v>467306</v>
      </c>
      <c r="F1566" s="2">
        <v>58368</v>
      </c>
    </row>
    <row r="1567" spans="1:6" x14ac:dyDescent="0.3">
      <c r="A1567">
        <v>2021</v>
      </c>
      <c r="B1567" t="s">
        <v>57</v>
      </c>
      <c r="C1567" t="s">
        <v>31</v>
      </c>
      <c r="D1567">
        <v>810</v>
      </c>
      <c r="E1567" s="1">
        <v>24680</v>
      </c>
      <c r="F1567" s="2">
        <v>52594</v>
      </c>
    </row>
    <row r="1568" spans="1:6" x14ac:dyDescent="0.3">
      <c r="A1568">
        <v>2021</v>
      </c>
      <c r="B1568" t="s">
        <v>57</v>
      </c>
      <c r="C1568" t="s">
        <v>32</v>
      </c>
      <c r="D1568" s="1">
        <v>15430</v>
      </c>
      <c r="E1568" s="1">
        <v>685942</v>
      </c>
      <c r="F1568" s="2">
        <v>60002</v>
      </c>
    </row>
    <row r="1569" spans="1:6" x14ac:dyDescent="0.3">
      <c r="A1569">
        <v>2021</v>
      </c>
      <c r="B1569" t="s">
        <v>57</v>
      </c>
      <c r="C1569" t="s">
        <v>33</v>
      </c>
      <c r="D1569" s="1">
        <v>4230</v>
      </c>
      <c r="E1569" s="1">
        <v>128122</v>
      </c>
      <c r="F1569" s="2">
        <v>55496</v>
      </c>
    </row>
    <row r="1570" spans="1:6" x14ac:dyDescent="0.3">
      <c r="A1570">
        <v>2021</v>
      </c>
      <c r="B1570" t="s">
        <v>57</v>
      </c>
      <c r="C1570" t="s">
        <v>34</v>
      </c>
      <c r="D1570" s="1">
        <v>6175</v>
      </c>
      <c r="E1570" s="1">
        <v>189318</v>
      </c>
      <c r="F1570" s="2">
        <v>68161</v>
      </c>
    </row>
    <row r="1571" spans="1:6" x14ac:dyDescent="0.3">
      <c r="A1571">
        <v>2021</v>
      </c>
      <c r="B1571" t="s">
        <v>57</v>
      </c>
      <c r="C1571" t="s">
        <v>35</v>
      </c>
      <c r="D1571" s="1">
        <v>14414</v>
      </c>
      <c r="E1571" s="1">
        <v>561774</v>
      </c>
      <c r="F1571" s="2">
        <v>61111</v>
      </c>
    </row>
    <row r="1572" spans="1:6" x14ac:dyDescent="0.3">
      <c r="A1572">
        <v>2021</v>
      </c>
      <c r="B1572" t="s">
        <v>57</v>
      </c>
      <c r="C1572" t="s">
        <v>36</v>
      </c>
      <c r="D1572" s="1">
        <v>1567</v>
      </c>
      <c r="E1572" s="1">
        <v>40341</v>
      </c>
      <c r="F1572" s="2">
        <v>57616</v>
      </c>
    </row>
    <row r="1573" spans="1:6" x14ac:dyDescent="0.3">
      <c r="A1573">
        <v>2021</v>
      </c>
      <c r="B1573" t="s">
        <v>57</v>
      </c>
      <c r="C1573" t="s">
        <v>37</v>
      </c>
      <c r="D1573" s="1">
        <v>5906</v>
      </c>
      <c r="E1573" s="1">
        <v>240456</v>
      </c>
      <c r="F1573" s="2">
        <v>58927</v>
      </c>
    </row>
    <row r="1574" spans="1:6" x14ac:dyDescent="0.3">
      <c r="A1574">
        <v>2021</v>
      </c>
      <c r="B1574" t="s">
        <v>57</v>
      </c>
      <c r="C1574" t="s">
        <v>38</v>
      </c>
      <c r="D1574" s="1">
        <v>1091</v>
      </c>
      <c r="E1574" s="1">
        <v>43081</v>
      </c>
      <c r="F1574" s="2">
        <v>47877</v>
      </c>
    </row>
    <row r="1575" spans="1:6" x14ac:dyDescent="0.3">
      <c r="A1575">
        <v>2021</v>
      </c>
      <c r="B1575" t="s">
        <v>57</v>
      </c>
      <c r="C1575" t="s">
        <v>39</v>
      </c>
      <c r="D1575" s="1">
        <v>6835</v>
      </c>
      <c r="E1575" s="1">
        <v>348417</v>
      </c>
      <c r="F1575" s="2">
        <v>59526</v>
      </c>
    </row>
    <row r="1576" spans="1:6" x14ac:dyDescent="0.3">
      <c r="A1576">
        <v>2021</v>
      </c>
      <c r="B1576" t="s">
        <v>57</v>
      </c>
      <c r="C1576" t="s">
        <v>40</v>
      </c>
      <c r="D1576" s="1">
        <v>24275</v>
      </c>
      <c r="E1576" s="1">
        <v>851513</v>
      </c>
      <c r="F1576" s="2">
        <v>75813</v>
      </c>
    </row>
    <row r="1577" spans="1:6" x14ac:dyDescent="0.3">
      <c r="A1577">
        <v>2021</v>
      </c>
      <c r="B1577" t="s">
        <v>57</v>
      </c>
      <c r="C1577" t="s">
        <v>41</v>
      </c>
      <c r="D1577" s="1">
        <v>4248</v>
      </c>
      <c r="E1577" s="1">
        <v>128365</v>
      </c>
      <c r="F1577" s="2">
        <v>56723</v>
      </c>
    </row>
    <row r="1578" spans="1:6" x14ac:dyDescent="0.3">
      <c r="A1578">
        <v>2021</v>
      </c>
      <c r="B1578" t="s">
        <v>57</v>
      </c>
      <c r="C1578" t="s">
        <v>42</v>
      </c>
      <c r="D1578" s="1">
        <v>1105</v>
      </c>
      <c r="E1578" s="1">
        <v>29550</v>
      </c>
      <c r="F1578" s="2">
        <v>58004</v>
      </c>
    </row>
    <row r="1579" spans="1:6" x14ac:dyDescent="0.3">
      <c r="A1579">
        <v>2021</v>
      </c>
      <c r="B1579" t="s">
        <v>57</v>
      </c>
      <c r="C1579" t="s">
        <v>43</v>
      </c>
      <c r="D1579" s="1">
        <v>6475</v>
      </c>
      <c r="E1579" s="1">
        <v>232927</v>
      </c>
      <c r="F1579" s="2">
        <v>57894</v>
      </c>
    </row>
    <row r="1580" spans="1:6" x14ac:dyDescent="0.3">
      <c r="A1580">
        <v>2021</v>
      </c>
      <c r="B1580" t="s">
        <v>57</v>
      </c>
      <c r="C1580" t="s">
        <v>44</v>
      </c>
      <c r="D1580" s="1">
        <v>7671</v>
      </c>
      <c r="E1580" s="1">
        <v>280368</v>
      </c>
      <c r="F1580" s="2">
        <v>76290</v>
      </c>
    </row>
    <row r="1581" spans="1:6" x14ac:dyDescent="0.3">
      <c r="A1581">
        <v>2021</v>
      </c>
      <c r="B1581" t="s">
        <v>57</v>
      </c>
      <c r="C1581" t="s">
        <v>45</v>
      </c>
      <c r="D1581" s="1">
        <v>1272</v>
      </c>
      <c r="E1581" s="1">
        <v>46575</v>
      </c>
      <c r="F1581" s="2">
        <v>58624</v>
      </c>
    </row>
    <row r="1582" spans="1:6" x14ac:dyDescent="0.3">
      <c r="A1582">
        <v>2021</v>
      </c>
      <c r="B1582" t="s">
        <v>57</v>
      </c>
      <c r="C1582" t="s">
        <v>46</v>
      </c>
      <c r="D1582" s="1">
        <v>9356</v>
      </c>
      <c r="E1582" s="1">
        <v>466595</v>
      </c>
      <c r="F1582" s="2">
        <v>57001</v>
      </c>
    </row>
    <row r="1583" spans="1:6" x14ac:dyDescent="0.3">
      <c r="A1583">
        <v>2021</v>
      </c>
      <c r="B1583" t="s">
        <v>57</v>
      </c>
      <c r="C1583" t="s">
        <v>47</v>
      </c>
      <c r="D1583">
        <v>598</v>
      </c>
      <c r="E1583" s="1">
        <v>9378</v>
      </c>
      <c r="F1583" s="2">
        <v>65834</v>
      </c>
    </row>
    <row r="1584" spans="1:6" x14ac:dyDescent="0.3">
      <c r="A1584">
        <v>2021</v>
      </c>
      <c r="B1584" t="s">
        <v>58</v>
      </c>
      <c r="C1584" t="s">
        <v>0</v>
      </c>
      <c r="D1584" s="1">
        <v>32410</v>
      </c>
      <c r="E1584" s="1">
        <v>375653</v>
      </c>
      <c r="F1584" s="2">
        <v>40518</v>
      </c>
    </row>
    <row r="1585" spans="1:6" x14ac:dyDescent="0.3">
      <c r="A1585">
        <v>2021</v>
      </c>
      <c r="B1585" t="s">
        <v>58</v>
      </c>
      <c r="C1585" t="s">
        <v>1</v>
      </c>
      <c r="D1585" s="1">
        <v>29489</v>
      </c>
      <c r="E1585" s="1">
        <v>518475</v>
      </c>
      <c r="F1585" s="2">
        <v>45126</v>
      </c>
    </row>
    <row r="1586" spans="1:6" x14ac:dyDescent="0.3">
      <c r="A1586">
        <v>2021</v>
      </c>
      <c r="B1586" t="s">
        <v>58</v>
      </c>
      <c r="C1586" t="s">
        <v>2</v>
      </c>
      <c r="D1586" s="1">
        <v>21486</v>
      </c>
      <c r="E1586" s="1">
        <v>247661</v>
      </c>
      <c r="F1586" s="2">
        <v>40275</v>
      </c>
    </row>
    <row r="1587" spans="1:6" x14ac:dyDescent="0.3">
      <c r="A1587">
        <v>2021</v>
      </c>
      <c r="B1587" t="s">
        <v>58</v>
      </c>
      <c r="C1587" t="s">
        <v>3</v>
      </c>
      <c r="D1587" s="1">
        <v>185826</v>
      </c>
      <c r="E1587" s="1">
        <v>3010983</v>
      </c>
      <c r="F1587" s="2">
        <v>51095</v>
      </c>
    </row>
    <row r="1588" spans="1:6" x14ac:dyDescent="0.3">
      <c r="A1588">
        <v>2021</v>
      </c>
      <c r="B1588" t="s">
        <v>58</v>
      </c>
      <c r="C1588" t="s">
        <v>4</v>
      </c>
      <c r="D1588" s="1">
        <v>35715</v>
      </c>
      <c r="E1588" s="1">
        <v>458174</v>
      </c>
      <c r="F1588" s="2">
        <v>48601</v>
      </c>
    </row>
    <row r="1589" spans="1:6" x14ac:dyDescent="0.3">
      <c r="A1589">
        <v>2021</v>
      </c>
      <c r="B1589" t="s">
        <v>58</v>
      </c>
      <c r="C1589" t="s">
        <v>5</v>
      </c>
      <c r="D1589" s="1">
        <v>25027</v>
      </c>
      <c r="E1589" s="1">
        <v>297198</v>
      </c>
      <c r="F1589" s="2">
        <v>50064</v>
      </c>
    </row>
    <row r="1590" spans="1:6" x14ac:dyDescent="0.3">
      <c r="A1590">
        <v>2021</v>
      </c>
      <c r="B1590" t="s">
        <v>58</v>
      </c>
      <c r="C1590" t="s">
        <v>6</v>
      </c>
      <c r="D1590" s="1">
        <v>6681</v>
      </c>
      <c r="E1590" s="1">
        <v>79724</v>
      </c>
      <c r="F1590" s="2">
        <v>39700</v>
      </c>
    </row>
    <row r="1591" spans="1:6" x14ac:dyDescent="0.3">
      <c r="A1591">
        <v>2021</v>
      </c>
      <c r="B1591" t="s">
        <v>58</v>
      </c>
      <c r="C1591" t="s">
        <v>7</v>
      </c>
      <c r="D1591" s="1">
        <v>139501</v>
      </c>
      <c r="E1591" s="1">
        <v>1739867</v>
      </c>
      <c r="F1591" s="2">
        <v>43229</v>
      </c>
    </row>
    <row r="1592" spans="1:6" x14ac:dyDescent="0.3">
      <c r="A1592">
        <v>2021</v>
      </c>
      <c r="B1592" t="s">
        <v>58</v>
      </c>
      <c r="C1592" t="s">
        <v>8</v>
      </c>
      <c r="D1592" s="1">
        <v>60382</v>
      </c>
      <c r="E1592" s="1">
        <v>930943</v>
      </c>
      <c r="F1592" s="2">
        <v>48763</v>
      </c>
    </row>
    <row r="1593" spans="1:6" x14ac:dyDescent="0.3">
      <c r="A1593">
        <v>2021</v>
      </c>
      <c r="B1593" t="s">
        <v>58</v>
      </c>
      <c r="C1593" t="s">
        <v>9</v>
      </c>
      <c r="D1593" s="1">
        <v>11706</v>
      </c>
      <c r="E1593" s="1">
        <v>136606</v>
      </c>
      <c r="F1593" s="2">
        <v>38856</v>
      </c>
    </row>
    <row r="1594" spans="1:6" x14ac:dyDescent="0.3">
      <c r="A1594">
        <v>2021</v>
      </c>
      <c r="B1594" t="s">
        <v>58</v>
      </c>
      <c r="C1594" t="s">
        <v>10</v>
      </c>
      <c r="D1594" s="1">
        <v>77273</v>
      </c>
      <c r="E1594" s="1">
        <v>1192805</v>
      </c>
      <c r="F1594" s="2">
        <v>50025</v>
      </c>
    </row>
    <row r="1595" spans="1:6" x14ac:dyDescent="0.3">
      <c r="A1595">
        <v>2021</v>
      </c>
      <c r="B1595" t="s">
        <v>58</v>
      </c>
      <c r="C1595" t="s">
        <v>11</v>
      </c>
      <c r="D1595" s="1">
        <v>40630</v>
      </c>
      <c r="E1595" s="1">
        <v>588381</v>
      </c>
      <c r="F1595" s="2">
        <v>40479</v>
      </c>
    </row>
    <row r="1596" spans="1:6" x14ac:dyDescent="0.3">
      <c r="A1596">
        <v>2021</v>
      </c>
      <c r="B1596" t="s">
        <v>58</v>
      </c>
      <c r="C1596" t="s">
        <v>12</v>
      </c>
      <c r="D1596" s="1">
        <v>23446</v>
      </c>
      <c r="E1596" s="1">
        <v>311763</v>
      </c>
      <c r="F1596" s="2">
        <v>39025</v>
      </c>
    </row>
    <row r="1597" spans="1:6" x14ac:dyDescent="0.3">
      <c r="A1597">
        <v>2021</v>
      </c>
      <c r="B1597" t="s">
        <v>58</v>
      </c>
      <c r="C1597" t="s">
        <v>13</v>
      </c>
      <c r="D1597" s="1">
        <v>20676</v>
      </c>
      <c r="E1597" s="1">
        <v>263529</v>
      </c>
      <c r="F1597" s="2">
        <v>40705</v>
      </c>
    </row>
    <row r="1598" spans="1:6" x14ac:dyDescent="0.3">
      <c r="A1598">
        <v>2021</v>
      </c>
      <c r="B1598" t="s">
        <v>58</v>
      </c>
      <c r="C1598" t="s">
        <v>14</v>
      </c>
      <c r="D1598" s="1">
        <v>27941</v>
      </c>
      <c r="E1598" s="1">
        <v>398217</v>
      </c>
      <c r="F1598" s="2">
        <v>41261</v>
      </c>
    </row>
    <row r="1599" spans="1:6" x14ac:dyDescent="0.3">
      <c r="A1599">
        <v>2021</v>
      </c>
      <c r="B1599" t="s">
        <v>58</v>
      </c>
      <c r="C1599" t="s">
        <v>15</v>
      </c>
      <c r="D1599" s="1">
        <v>30444</v>
      </c>
      <c r="E1599" s="1">
        <v>378830</v>
      </c>
      <c r="F1599" s="2">
        <v>40938</v>
      </c>
    </row>
    <row r="1600" spans="1:6" x14ac:dyDescent="0.3">
      <c r="A1600">
        <v>2021</v>
      </c>
      <c r="B1600" t="s">
        <v>58</v>
      </c>
      <c r="C1600" t="s">
        <v>16</v>
      </c>
      <c r="D1600" s="1">
        <v>11060</v>
      </c>
      <c r="E1600" s="1">
        <v>119329</v>
      </c>
      <c r="F1600" s="2">
        <v>36287</v>
      </c>
    </row>
    <row r="1601" spans="1:6" x14ac:dyDescent="0.3">
      <c r="A1601">
        <v>2021</v>
      </c>
      <c r="B1601" t="s">
        <v>58</v>
      </c>
      <c r="C1601" t="s">
        <v>17</v>
      </c>
      <c r="D1601" s="1">
        <v>33064</v>
      </c>
      <c r="E1601" s="1">
        <v>462131</v>
      </c>
      <c r="F1601" s="2">
        <v>45367</v>
      </c>
    </row>
    <row r="1602" spans="1:6" x14ac:dyDescent="0.3">
      <c r="A1602">
        <v>2021</v>
      </c>
      <c r="B1602" t="s">
        <v>58</v>
      </c>
      <c r="C1602" t="s">
        <v>18</v>
      </c>
      <c r="D1602" s="1">
        <v>42906</v>
      </c>
      <c r="E1602" s="1">
        <v>577319</v>
      </c>
      <c r="F1602" s="2">
        <v>51500</v>
      </c>
    </row>
    <row r="1603" spans="1:6" x14ac:dyDescent="0.3">
      <c r="A1603">
        <v>2021</v>
      </c>
      <c r="B1603" t="s">
        <v>58</v>
      </c>
      <c r="C1603" t="s">
        <v>19</v>
      </c>
      <c r="D1603" s="1">
        <v>52149</v>
      </c>
      <c r="E1603" s="1">
        <v>784393</v>
      </c>
      <c r="F1603" s="2">
        <v>45628</v>
      </c>
    </row>
    <row r="1604" spans="1:6" x14ac:dyDescent="0.3">
      <c r="A1604">
        <v>2021</v>
      </c>
      <c r="B1604" t="s">
        <v>58</v>
      </c>
      <c r="C1604" t="s">
        <v>20</v>
      </c>
      <c r="D1604" s="1">
        <v>36334</v>
      </c>
      <c r="E1604" s="1">
        <v>531926</v>
      </c>
      <c r="F1604" s="2">
        <v>48273</v>
      </c>
    </row>
    <row r="1605" spans="1:6" x14ac:dyDescent="0.3">
      <c r="A1605">
        <v>2021</v>
      </c>
      <c r="B1605" t="s">
        <v>58</v>
      </c>
      <c r="C1605" t="s">
        <v>21</v>
      </c>
      <c r="D1605" s="1">
        <v>19589</v>
      </c>
      <c r="E1605" s="1">
        <v>229775</v>
      </c>
      <c r="F1605" s="2">
        <v>35324</v>
      </c>
    </row>
    <row r="1606" spans="1:6" x14ac:dyDescent="0.3">
      <c r="A1606">
        <v>2021</v>
      </c>
      <c r="B1606" t="s">
        <v>58</v>
      </c>
      <c r="C1606" t="s">
        <v>22</v>
      </c>
      <c r="D1606" s="1">
        <v>40324</v>
      </c>
      <c r="E1606" s="1">
        <v>538185</v>
      </c>
      <c r="F1606" s="2">
        <v>41095</v>
      </c>
    </row>
    <row r="1607" spans="1:6" x14ac:dyDescent="0.3">
      <c r="A1607">
        <v>2021</v>
      </c>
      <c r="B1607" t="s">
        <v>58</v>
      </c>
      <c r="C1607" t="s">
        <v>23</v>
      </c>
      <c r="D1607" s="1">
        <v>9270</v>
      </c>
      <c r="E1607" s="1">
        <v>91194</v>
      </c>
      <c r="F1607" s="2">
        <v>38067</v>
      </c>
    </row>
    <row r="1608" spans="1:6" x14ac:dyDescent="0.3">
      <c r="A1608">
        <v>2021</v>
      </c>
      <c r="B1608" t="s">
        <v>58</v>
      </c>
      <c r="C1608" t="s">
        <v>24</v>
      </c>
      <c r="D1608" s="1">
        <v>15024</v>
      </c>
      <c r="E1608" s="1">
        <v>190930</v>
      </c>
      <c r="F1608" s="2">
        <v>38493</v>
      </c>
    </row>
    <row r="1609" spans="1:6" x14ac:dyDescent="0.3">
      <c r="A1609">
        <v>2021</v>
      </c>
      <c r="B1609" t="s">
        <v>58</v>
      </c>
      <c r="C1609" t="s">
        <v>25</v>
      </c>
      <c r="D1609" s="1">
        <v>15910</v>
      </c>
      <c r="E1609" s="1">
        <v>247973</v>
      </c>
      <c r="F1609" s="2">
        <v>42847</v>
      </c>
    </row>
    <row r="1610" spans="1:6" x14ac:dyDescent="0.3">
      <c r="A1610">
        <v>2021</v>
      </c>
      <c r="B1610" t="s">
        <v>58</v>
      </c>
      <c r="C1610" t="s">
        <v>26</v>
      </c>
      <c r="D1610" s="1">
        <v>12612</v>
      </c>
      <c r="E1610" s="1">
        <v>139876</v>
      </c>
      <c r="F1610" s="2">
        <v>46101</v>
      </c>
    </row>
    <row r="1611" spans="1:6" x14ac:dyDescent="0.3">
      <c r="A1611">
        <v>2021</v>
      </c>
      <c r="B1611" t="s">
        <v>58</v>
      </c>
      <c r="C1611" t="s">
        <v>27</v>
      </c>
      <c r="D1611" s="1">
        <v>53977</v>
      </c>
      <c r="E1611" s="1">
        <v>872180</v>
      </c>
      <c r="F1611" s="2">
        <v>52631</v>
      </c>
    </row>
    <row r="1612" spans="1:6" x14ac:dyDescent="0.3">
      <c r="A1612">
        <v>2021</v>
      </c>
      <c r="B1612" t="s">
        <v>58</v>
      </c>
      <c r="C1612" t="s">
        <v>28</v>
      </c>
      <c r="D1612" s="1">
        <v>10538</v>
      </c>
      <c r="E1612" s="1">
        <v>134696</v>
      </c>
      <c r="F1612" s="2">
        <v>36519</v>
      </c>
    </row>
    <row r="1613" spans="1:6" x14ac:dyDescent="0.3">
      <c r="A1613">
        <v>2021</v>
      </c>
      <c r="B1613" t="s">
        <v>58</v>
      </c>
      <c r="C1613" t="s">
        <v>29</v>
      </c>
      <c r="D1613" s="1">
        <v>126549</v>
      </c>
      <c r="E1613" s="1">
        <v>1562385</v>
      </c>
      <c r="F1613" s="2">
        <v>50389</v>
      </c>
    </row>
    <row r="1614" spans="1:6" x14ac:dyDescent="0.3">
      <c r="A1614">
        <v>2021</v>
      </c>
      <c r="B1614" t="s">
        <v>58</v>
      </c>
      <c r="C1614" t="s">
        <v>30</v>
      </c>
      <c r="D1614" s="1">
        <v>61042</v>
      </c>
      <c r="E1614" s="1">
        <v>824989</v>
      </c>
      <c r="F1614" s="2">
        <v>41845</v>
      </c>
    </row>
    <row r="1615" spans="1:6" x14ac:dyDescent="0.3">
      <c r="A1615">
        <v>2021</v>
      </c>
      <c r="B1615" t="s">
        <v>58</v>
      </c>
      <c r="C1615" t="s">
        <v>31</v>
      </c>
      <c r="D1615" s="1">
        <v>7819</v>
      </c>
      <c r="E1615" s="1">
        <v>92052</v>
      </c>
      <c r="F1615" s="2">
        <v>47910</v>
      </c>
    </row>
    <row r="1616" spans="1:6" x14ac:dyDescent="0.3">
      <c r="A1616">
        <v>2021</v>
      </c>
      <c r="B1616" t="s">
        <v>58</v>
      </c>
      <c r="C1616" t="s">
        <v>32</v>
      </c>
      <c r="D1616" s="1">
        <v>68763</v>
      </c>
      <c r="E1616" s="1">
        <v>1018161</v>
      </c>
      <c r="F1616" s="2">
        <v>42564</v>
      </c>
    </row>
    <row r="1617" spans="1:6" x14ac:dyDescent="0.3">
      <c r="A1617">
        <v>2021</v>
      </c>
      <c r="B1617" t="s">
        <v>58</v>
      </c>
      <c r="C1617" t="s">
        <v>33</v>
      </c>
      <c r="D1617" s="1">
        <v>23838</v>
      </c>
      <c r="E1617" s="1">
        <v>301165</v>
      </c>
      <c r="F1617" s="2">
        <v>41040</v>
      </c>
    </row>
    <row r="1618" spans="1:6" x14ac:dyDescent="0.3">
      <c r="A1618">
        <v>2021</v>
      </c>
      <c r="B1618" t="s">
        <v>58</v>
      </c>
      <c r="C1618" t="s">
        <v>34</v>
      </c>
      <c r="D1618" s="1">
        <v>26684</v>
      </c>
      <c r="E1618" s="1">
        <v>347515</v>
      </c>
      <c r="F1618" s="2">
        <v>42870</v>
      </c>
    </row>
    <row r="1619" spans="1:6" x14ac:dyDescent="0.3">
      <c r="A1619">
        <v>2021</v>
      </c>
      <c r="B1619" t="s">
        <v>58</v>
      </c>
      <c r="C1619" t="s">
        <v>35</v>
      </c>
      <c r="D1619" s="1">
        <v>75374</v>
      </c>
      <c r="E1619" s="1">
        <v>1115565</v>
      </c>
      <c r="F1619" s="2">
        <v>43972</v>
      </c>
    </row>
    <row r="1620" spans="1:6" x14ac:dyDescent="0.3">
      <c r="A1620">
        <v>2021</v>
      </c>
      <c r="B1620" t="s">
        <v>58</v>
      </c>
      <c r="C1620" t="s">
        <v>36</v>
      </c>
      <c r="D1620" s="1">
        <v>7674</v>
      </c>
      <c r="E1620" s="1">
        <v>76263</v>
      </c>
      <c r="F1620" s="2">
        <v>42503</v>
      </c>
    </row>
    <row r="1621" spans="1:6" x14ac:dyDescent="0.3">
      <c r="A1621">
        <v>2021</v>
      </c>
      <c r="B1621" t="s">
        <v>58</v>
      </c>
      <c r="C1621" t="s">
        <v>37</v>
      </c>
      <c r="D1621" s="1">
        <v>29784</v>
      </c>
      <c r="E1621" s="1">
        <v>395329</v>
      </c>
      <c r="F1621" s="2">
        <v>38973</v>
      </c>
    </row>
    <row r="1622" spans="1:6" x14ac:dyDescent="0.3">
      <c r="A1622">
        <v>2021</v>
      </c>
      <c r="B1622" t="s">
        <v>58</v>
      </c>
      <c r="C1622" t="s">
        <v>38</v>
      </c>
      <c r="D1622" s="1">
        <v>8036</v>
      </c>
      <c r="E1622" s="1">
        <v>86427</v>
      </c>
      <c r="F1622" s="2">
        <v>38278</v>
      </c>
    </row>
    <row r="1623" spans="1:6" x14ac:dyDescent="0.3">
      <c r="A1623">
        <v>2021</v>
      </c>
      <c r="B1623" t="s">
        <v>58</v>
      </c>
      <c r="C1623" t="s">
        <v>39</v>
      </c>
      <c r="D1623" s="1">
        <v>39250</v>
      </c>
      <c r="E1623" s="1">
        <v>618046</v>
      </c>
      <c r="F1623" s="2">
        <v>44773</v>
      </c>
    </row>
    <row r="1624" spans="1:6" x14ac:dyDescent="0.3">
      <c r="A1624">
        <v>2021</v>
      </c>
      <c r="B1624" t="s">
        <v>58</v>
      </c>
      <c r="C1624" t="s">
        <v>40</v>
      </c>
      <c r="D1624" s="1">
        <v>145842</v>
      </c>
      <c r="E1624" s="1">
        <v>2432880</v>
      </c>
      <c r="F1624" s="2">
        <v>50316</v>
      </c>
    </row>
    <row r="1625" spans="1:6" x14ac:dyDescent="0.3">
      <c r="A1625">
        <v>2021</v>
      </c>
      <c r="B1625" t="s">
        <v>58</v>
      </c>
      <c r="C1625" t="s">
        <v>41</v>
      </c>
      <c r="D1625" s="1">
        <v>19048</v>
      </c>
      <c r="E1625" s="1">
        <v>276552</v>
      </c>
      <c r="F1625" s="2">
        <v>42378</v>
      </c>
    </row>
    <row r="1626" spans="1:6" x14ac:dyDescent="0.3">
      <c r="A1626">
        <v>2021</v>
      </c>
      <c r="B1626" t="s">
        <v>58</v>
      </c>
      <c r="C1626" t="s">
        <v>42</v>
      </c>
      <c r="D1626" s="1">
        <v>5138</v>
      </c>
      <c r="E1626" s="1">
        <v>55012</v>
      </c>
      <c r="F1626" s="2">
        <v>38650</v>
      </c>
    </row>
    <row r="1627" spans="1:6" x14ac:dyDescent="0.3">
      <c r="A1627">
        <v>2021</v>
      </c>
      <c r="B1627" t="s">
        <v>58</v>
      </c>
      <c r="C1627" t="s">
        <v>43</v>
      </c>
      <c r="D1627" s="1">
        <v>42996</v>
      </c>
      <c r="E1627" s="1">
        <v>652711</v>
      </c>
      <c r="F1627" s="2">
        <v>42291</v>
      </c>
    </row>
    <row r="1628" spans="1:6" x14ac:dyDescent="0.3">
      <c r="A1628">
        <v>2021</v>
      </c>
      <c r="B1628" t="s">
        <v>58</v>
      </c>
      <c r="C1628" t="s">
        <v>44</v>
      </c>
      <c r="D1628" s="1">
        <v>39715</v>
      </c>
      <c r="E1628" s="1">
        <v>610599</v>
      </c>
      <c r="F1628" s="2">
        <v>58924</v>
      </c>
    </row>
    <row r="1629" spans="1:6" x14ac:dyDescent="0.3">
      <c r="A1629">
        <v>2021</v>
      </c>
      <c r="B1629" t="s">
        <v>58</v>
      </c>
      <c r="C1629" t="s">
        <v>45</v>
      </c>
      <c r="D1629" s="1">
        <v>10925</v>
      </c>
      <c r="E1629" s="1">
        <v>129300</v>
      </c>
      <c r="F1629" s="2">
        <v>37489</v>
      </c>
    </row>
    <row r="1630" spans="1:6" x14ac:dyDescent="0.3">
      <c r="A1630">
        <v>2021</v>
      </c>
      <c r="B1630" t="s">
        <v>58</v>
      </c>
      <c r="C1630" t="s">
        <v>46</v>
      </c>
      <c r="D1630" s="1">
        <v>35433</v>
      </c>
      <c r="E1630" s="1">
        <v>539603</v>
      </c>
      <c r="F1630" s="2">
        <v>39831</v>
      </c>
    </row>
    <row r="1631" spans="1:6" x14ac:dyDescent="0.3">
      <c r="A1631">
        <v>2021</v>
      </c>
      <c r="B1631" t="s">
        <v>58</v>
      </c>
      <c r="C1631" t="s">
        <v>47</v>
      </c>
      <c r="D1631" s="1">
        <v>4822</v>
      </c>
      <c r="E1631" s="1">
        <v>49799</v>
      </c>
      <c r="F1631" s="2">
        <v>40999</v>
      </c>
    </row>
    <row r="1632" spans="1:6" x14ac:dyDescent="0.3">
      <c r="A1632">
        <v>2021</v>
      </c>
      <c r="B1632" t="s">
        <v>59</v>
      </c>
      <c r="C1632" t="s">
        <v>0</v>
      </c>
      <c r="D1632" s="1">
        <v>1969</v>
      </c>
      <c r="E1632" s="1">
        <v>20807</v>
      </c>
      <c r="F1632" s="2">
        <v>58932</v>
      </c>
    </row>
    <row r="1633" spans="1:6" x14ac:dyDescent="0.3">
      <c r="A1633">
        <v>2021</v>
      </c>
      <c r="B1633" t="s">
        <v>59</v>
      </c>
      <c r="C1633" t="s">
        <v>1</v>
      </c>
      <c r="D1633" s="1">
        <v>2461</v>
      </c>
      <c r="E1633" s="1">
        <v>44962</v>
      </c>
      <c r="F1633" s="2">
        <v>71171</v>
      </c>
    </row>
    <row r="1634" spans="1:6" x14ac:dyDescent="0.3">
      <c r="A1634">
        <v>2021</v>
      </c>
      <c r="B1634" t="s">
        <v>59</v>
      </c>
      <c r="C1634" t="s">
        <v>2</v>
      </c>
      <c r="D1634" s="1">
        <v>1123</v>
      </c>
      <c r="E1634" s="1">
        <v>12766</v>
      </c>
      <c r="F1634" s="2">
        <v>56682</v>
      </c>
    </row>
    <row r="1635" spans="1:6" x14ac:dyDescent="0.3">
      <c r="A1635">
        <v>2021</v>
      </c>
      <c r="B1635" t="s">
        <v>59</v>
      </c>
      <c r="C1635" t="s">
        <v>3</v>
      </c>
      <c r="D1635" s="1">
        <v>22519</v>
      </c>
      <c r="E1635" s="1">
        <v>513029</v>
      </c>
      <c r="F1635" s="2">
        <v>172309</v>
      </c>
    </row>
    <row r="1636" spans="1:6" x14ac:dyDescent="0.3">
      <c r="A1636">
        <v>2021</v>
      </c>
      <c r="B1636" t="s">
        <v>59</v>
      </c>
      <c r="C1636" t="s">
        <v>4</v>
      </c>
      <c r="D1636" s="1">
        <v>3891</v>
      </c>
      <c r="E1636" s="1">
        <v>71641</v>
      </c>
      <c r="F1636" s="2">
        <v>100781</v>
      </c>
    </row>
    <row r="1637" spans="1:6" x14ac:dyDescent="0.3">
      <c r="A1637">
        <v>2021</v>
      </c>
      <c r="B1637" t="s">
        <v>59</v>
      </c>
      <c r="C1637" t="s">
        <v>5</v>
      </c>
      <c r="D1637" s="1">
        <v>2146</v>
      </c>
      <c r="E1637" s="1">
        <v>31542</v>
      </c>
      <c r="F1637" s="2">
        <v>103094</v>
      </c>
    </row>
    <row r="1638" spans="1:6" x14ac:dyDescent="0.3">
      <c r="A1638">
        <v>2021</v>
      </c>
      <c r="B1638" t="s">
        <v>59</v>
      </c>
      <c r="C1638" t="s">
        <v>6</v>
      </c>
      <c r="D1638">
        <v>409</v>
      </c>
      <c r="E1638" s="1">
        <v>4560</v>
      </c>
      <c r="F1638" s="2">
        <v>64686</v>
      </c>
    </row>
    <row r="1639" spans="1:6" x14ac:dyDescent="0.3">
      <c r="A1639">
        <v>2021</v>
      </c>
      <c r="B1639" t="s">
        <v>59</v>
      </c>
      <c r="C1639" t="s">
        <v>7</v>
      </c>
      <c r="D1639" s="1">
        <v>10983</v>
      </c>
      <c r="E1639" s="1">
        <v>138039</v>
      </c>
      <c r="F1639" s="2">
        <v>80305</v>
      </c>
    </row>
    <row r="1640" spans="1:6" x14ac:dyDescent="0.3">
      <c r="A1640">
        <v>2021</v>
      </c>
      <c r="B1640" t="s">
        <v>59</v>
      </c>
      <c r="C1640" t="s">
        <v>8</v>
      </c>
      <c r="D1640" s="1">
        <v>4911</v>
      </c>
      <c r="E1640" s="1">
        <v>116074</v>
      </c>
      <c r="F1640" s="2">
        <v>96306</v>
      </c>
    </row>
    <row r="1641" spans="1:6" x14ac:dyDescent="0.3">
      <c r="A1641">
        <v>2021</v>
      </c>
      <c r="B1641" t="s">
        <v>59</v>
      </c>
      <c r="C1641" t="s">
        <v>9</v>
      </c>
      <c r="D1641" s="1">
        <v>1175</v>
      </c>
      <c r="E1641" s="1">
        <v>8923</v>
      </c>
      <c r="F1641" s="2">
        <v>51032</v>
      </c>
    </row>
    <row r="1642" spans="1:6" x14ac:dyDescent="0.3">
      <c r="A1642">
        <v>2021</v>
      </c>
      <c r="B1642" t="s">
        <v>59</v>
      </c>
      <c r="C1642" t="s">
        <v>10</v>
      </c>
      <c r="D1642" s="1">
        <v>6534</v>
      </c>
      <c r="E1642" s="1">
        <v>96181</v>
      </c>
      <c r="F1642" s="2">
        <v>85328</v>
      </c>
    </row>
    <row r="1643" spans="1:6" x14ac:dyDescent="0.3">
      <c r="A1643">
        <v>2021</v>
      </c>
      <c r="B1643" t="s">
        <v>59</v>
      </c>
      <c r="C1643" t="s">
        <v>11</v>
      </c>
      <c r="D1643" s="1">
        <v>2023</v>
      </c>
      <c r="E1643" s="1">
        <v>31465</v>
      </c>
      <c r="F1643" s="2">
        <v>59391</v>
      </c>
    </row>
    <row r="1644" spans="1:6" x14ac:dyDescent="0.3">
      <c r="A1644">
        <v>2021</v>
      </c>
      <c r="B1644" t="s">
        <v>59</v>
      </c>
      <c r="C1644" t="s">
        <v>12</v>
      </c>
      <c r="D1644" s="1">
        <v>1698</v>
      </c>
      <c r="E1644" s="1">
        <v>21891</v>
      </c>
      <c r="F1644" s="2">
        <v>55957</v>
      </c>
    </row>
    <row r="1645" spans="1:6" x14ac:dyDescent="0.3">
      <c r="A1645">
        <v>2021</v>
      </c>
      <c r="B1645" t="s">
        <v>59</v>
      </c>
      <c r="C1645" t="s">
        <v>13</v>
      </c>
      <c r="D1645" s="1">
        <v>1260</v>
      </c>
      <c r="E1645" s="1">
        <v>19279</v>
      </c>
      <c r="F1645" s="2">
        <v>61084</v>
      </c>
    </row>
    <row r="1646" spans="1:6" x14ac:dyDescent="0.3">
      <c r="A1646">
        <v>2021</v>
      </c>
      <c r="B1646" t="s">
        <v>59</v>
      </c>
      <c r="C1646" t="s">
        <v>14</v>
      </c>
      <c r="D1646" s="1">
        <v>1697</v>
      </c>
      <c r="E1646" s="1">
        <v>22698</v>
      </c>
      <c r="F1646" s="2">
        <v>54857</v>
      </c>
    </row>
    <row r="1647" spans="1:6" x14ac:dyDescent="0.3">
      <c r="A1647">
        <v>2021</v>
      </c>
      <c r="B1647" t="s">
        <v>59</v>
      </c>
      <c r="C1647" t="s">
        <v>15</v>
      </c>
      <c r="D1647" s="1">
        <v>1650</v>
      </c>
      <c r="E1647" s="1">
        <v>22941</v>
      </c>
      <c r="F1647" s="2">
        <v>55038</v>
      </c>
    </row>
    <row r="1648" spans="1:6" x14ac:dyDescent="0.3">
      <c r="A1648">
        <v>2021</v>
      </c>
      <c r="B1648" t="s">
        <v>59</v>
      </c>
      <c r="C1648" t="s">
        <v>16</v>
      </c>
      <c r="D1648">
        <v>843</v>
      </c>
      <c r="E1648" s="1">
        <v>7340</v>
      </c>
      <c r="F1648" s="2">
        <v>52561</v>
      </c>
    </row>
    <row r="1649" spans="1:6" x14ac:dyDescent="0.3">
      <c r="A1649">
        <v>2021</v>
      </c>
      <c r="B1649" t="s">
        <v>59</v>
      </c>
      <c r="C1649" t="s">
        <v>17</v>
      </c>
      <c r="D1649" s="1">
        <v>2719</v>
      </c>
      <c r="E1649" s="1">
        <v>37583</v>
      </c>
      <c r="F1649" s="2">
        <v>88009</v>
      </c>
    </row>
    <row r="1650" spans="1:6" x14ac:dyDescent="0.3">
      <c r="A1650">
        <v>2021</v>
      </c>
      <c r="B1650" t="s">
        <v>59</v>
      </c>
      <c r="C1650" t="s">
        <v>18</v>
      </c>
      <c r="D1650" s="1">
        <v>5143</v>
      </c>
      <c r="E1650" s="1">
        <v>91861</v>
      </c>
      <c r="F1650" s="2">
        <v>114166</v>
      </c>
    </row>
    <row r="1651" spans="1:6" x14ac:dyDescent="0.3">
      <c r="A1651">
        <v>2021</v>
      </c>
      <c r="B1651" t="s">
        <v>59</v>
      </c>
      <c r="C1651" t="s">
        <v>19</v>
      </c>
      <c r="D1651" s="1">
        <v>5934</v>
      </c>
      <c r="E1651" s="1">
        <v>56524</v>
      </c>
      <c r="F1651" s="2">
        <v>70884</v>
      </c>
    </row>
    <row r="1652" spans="1:6" x14ac:dyDescent="0.3">
      <c r="A1652">
        <v>2021</v>
      </c>
      <c r="B1652" t="s">
        <v>59</v>
      </c>
      <c r="C1652" t="s">
        <v>20</v>
      </c>
      <c r="D1652" s="1">
        <v>3663</v>
      </c>
      <c r="E1652" s="1">
        <v>50310</v>
      </c>
      <c r="F1652" s="2">
        <v>75459</v>
      </c>
    </row>
    <row r="1653" spans="1:6" x14ac:dyDescent="0.3">
      <c r="A1653">
        <v>2021</v>
      </c>
      <c r="B1653" t="s">
        <v>59</v>
      </c>
      <c r="C1653" t="s">
        <v>21</v>
      </c>
      <c r="D1653">
        <v>962</v>
      </c>
      <c r="E1653" s="1">
        <v>11593</v>
      </c>
      <c r="F1653" s="2">
        <v>48002</v>
      </c>
    </row>
    <row r="1654" spans="1:6" x14ac:dyDescent="0.3">
      <c r="A1654">
        <v>2021</v>
      </c>
      <c r="B1654" t="s">
        <v>59</v>
      </c>
      <c r="C1654" t="s">
        <v>22</v>
      </c>
      <c r="D1654" s="1">
        <v>3051</v>
      </c>
      <c r="E1654" s="1">
        <v>48249</v>
      </c>
      <c r="F1654" s="2">
        <v>73665</v>
      </c>
    </row>
    <row r="1655" spans="1:6" x14ac:dyDescent="0.3">
      <c r="A1655">
        <v>2021</v>
      </c>
      <c r="B1655" t="s">
        <v>59</v>
      </c>
      <c r="C1655" t="s">
        <v>23</v>
      </c>
      <c r="D1655">
        <v>759</v>
      </c>
      <c r="E1655" s="1">
        <v>6394</v>
      </c>
      <c r="F1655" s="2">
        <v>51903</v>
      </c>
    </row>
    <row r="1656" spans="1:6" x14ac:dyDescent="0.3">
      <c r="A1656">
        <v>2021</v>
      </c>
      <c r="B1656" t="s">
        <v>59</v>
      </c>
      <c r="C1656" t="s">
        <v>24</v>
      </c>
      <c r="D1656">
        <v>964</v>
      </c>
      <c r="E1656" s="1">
        <v>18204</v>
      </c>
      <c r="F1656" s="2">
        <v>61365</v>
      </c>
    </row>
    <row r="1657" spans="1:6" x14ac:dyDescent="0.3">
      <c r="A1657">
        <v>2021</v>
      </c>
      <c r="B1657" t="s">
        <v>59</v>
      </c>
      <c r="C1657" t="s">
        <v>25</v>
      </c>
      <c r="D1657" s="1">
        <v>1440</v>
      </c>
      <c r="E1657" s="1">
        <v>14735</v>
      </c>
      <c r="F1657" s="2">
        <v>65866</v>
      </c>
    </row>
    <row r="1658" spans="1:6" x14ac:dyDescent="0.3">
      <c r="A1658">
        <v>2021</v>
      </c>
      <c r="B1658" t="s">
        <v>59</v>
      </c>
      <c r="C1658" t="s">
        <v>26</v>
      </c>
      <c r="D1658">
        <v>843</v>
      </c>
      <c r="E1658" s="1">
        <v>12554</v>
      </c>
      <c r="F1658" s="2">
        <v>88119</v>
      </c>
    </row>
    <row r="1659" spans="1:6" x14ac:dyDescent="0.3">
      <c r="A1659">
        <v>2021</v>
      </c>
      <c r="B1659" t="s">
        <v>59</v>
      </c>
      <c r="C1659" t="s">
        <v>27</v>
      </c>
      <c r="D1659" s="1">
        <v>3595</v>
      </c>
      <c r="E1659" s="1">
        <v>70379</v>
      </c>
      <c r="F1659" s="2">
        <v>108638</v>
      </c>
    </row>
    <row r="1660" spans="1:6" x14ac:dyDescent="0.3">
      <c r="A1660">
        <v>2021</v>
      </c>
      <c r="B1660" t="s">
        <v>59</v>
      </c>
      <c r="C1660" t="s">
        <v>28</v>
      </c>
      <c r="D1660">
        <v>929</v>
      </c>
      <c r="E1660" s="1">
        <v>12398</v>
      </c>
      <c r="F1660" s="2">
        <v>51009</v>
      </c>
    </row>
    <row r="1661" spans="1:6" x14ac:dyDescent="0.3">
      <c r="A1661">
        <v>2021</v>
      </c>
      <c r="B1661" t="s">
        <v>59</v>
      </c>
      <c r="C1661" t="s">
        <v>29</v>
      </c>
      <c r="D1661" s="1">
        <v>12397</v>
      </c>
      <c r="E1661" s="1">
        <v>269233</v>
      </c>
      <c r="F1661" s="2">
        <v>119508</v>
      </c>
    </row>
    <row r="1662" spans="1:6" x14ac:dyDescent="0.3">
      <c r="A1662">
        <v>2021</v>
      </c>
      <c r="B1662" t="s">
        <v>59</v>
      </c>
      <c r="C1662" t="s">
        <v>30</v>
      </c>
      <c r="D1662" s="1">
        <v>5042</v>
      </c>
      <c r="E1662" s="1">
        <v>78826</v>
      </c>
      <c r="F1662" s="2">
        <v>80496</v>
      </c>
    </row>
    <row r="1663" spans="1:6" x14ac:dyDescent="0.3">
      <c r="A1663">
        <v>2021</v>
      </c>
      <c r="B1663" t="s">
        <v>59</v>
      </c>
      <c r="C1663" t="s">
        <v>31</v>
      </c>
      <c r="D1663">
        <v>396</v>
      </c>
      <c r="E1663" s="1">
        <v>6502</v>
      </c>
      <c r="F1663" s="2">
        <v>65114</v>
      </c>
    </row>
    <row r="1664" spans="1:6" x14ac:dyDescent="0.3">
      <c r="A1664">
        <v>2021</v>
      </c>
      <c r="B1664" t="s">
        <v>59</v>
      </c>
      <c r="C1664" t="s">
        <v>32</v>
      </c>
      <c r="D1664" s="1">
        <v>4456</v>
      </c>
      <c r="E1664" s="1">
        <v>71562</v>
      </c>
      <c r="F1664" s="2">
        <v>67912</v>
      </c>
    </row>
    <row r="1665" spans="1:6" x14ac:dyDescent="0.3">
      <c r="A1665">
        <v>2021</v>
      </c>
      <c r="B1665" t="s">
        <v>59</v>
      </c>
      <c r="C1665" t="s">
        <v>33</v>
      </c>
      <c r="D1665" s="1">
        <v>1491</v>
      </c>
      <c r="E1665" s="1">
        <v>20417</v>
      </c>
      <c r="F1665" s="2">
        <v>57922</v>
      </c>
    </row>
    <row r="1666" spans="1:6" x14ac:dyDescent="0.3">
      <c r="A1666">
        <v>2021</v>
      </c>
      <c r="B1666" t="s">
        <v>59</v>
      </c>
      <c r="C1666" t="s">
        <v>34</v>
      </c>
      <c r="D1666" s="1">
        <v>3521</v>
      </c>
      <c r="E1666" s="1">
        <v>34177</v>
      </c>
      <c r="F1666" s="2">
        <v>80210</v>
      </c>
    </row>
    <row r="1667" spans="1:6" x14ac:dyDescent="0.3">
      <c r="A1667">
        <v>2021</v>
      </c>
      <c r="B1667" t="s">
        <v>59</v>
      </c>
      <c r="C1667" t="s">
        <v>35</v>
      </c>
      <c r="D1667" s="1">
        <v>4664</v>
      </c>
      <c r="E1667" s="1">
        <v>83352</v>
      </c>
      <c r="F1667" s="2">
        <v>78987</v>
      </c>
    </row>
    <row r="1668" spans="1:6" x14ac:dyDescent="0.3">
      <c r="A1668">
        <v>2021</v>
      </c>
      <c r="B1668" t="s">
        <v>59</v>
      </c>
      <c r="C1668" t="s">
        <v>36</v>
      </c>
      <c r="D1668">
        <v>745</v>
      </c>
      <c r="E1668" s="1">
        <v>6125</v>
      </c>
      <c r="F1668" s="2">
        <v>70660</v>
      </c>
    </row>
    <row r="1669" spans="1:6" x14ac:dyDescent="0.3">
      <c r="A1669">
        <v>2021</v>
      </c>
      <c r="B1669" t="s">
        <v>59</v>
      </c>
      <c r="C1669" t="s">
        <v>37</v>
      </c>
      <c r="D1669" s="1">
        <v>2430</v>
      </c>
      <c r="E1669" s="1">
        <v>27428</v>
      </c>
      <c r="F1669" s="2">
        <v>61428</v>
      </c>
    </row>
    <row r="1670" spans="1:6" x14ac:dyDescent="0.3">
      <c r="A1670">
        <v>2021</v>
      </c>
      <c r="B1670" t="s">
        <v>59</v>
      </c>
      <c r="C1670" t="s">
        <v>38</v>
      </c>
      <c r="D1670">
        <v>561</v>
      </c>
      <c r="E1670" s="1">
        <v>5720</v>
      </c>
      <c r="F1670" s="2">
        <v>47231</v>
      </c>
    </row>
    <row r="1671" spans="1:6" x14ac:dyDescent="0.3">
      <c r="A1671">
        <v>2021</v>
      </c>
      <c r="B1671" t="s">
        <v>59</v>
      </c>
      <c r="C1671" t="s">
        <v>39</v>
      </c>
      <c r="D1671" s="1">
        <v>3260</v>
      </c>
      <c r="E1671" s="1">
        <v>45482</v>
      </c>
      <c r="F1671" s="2">
        <v>68381</v>
      </c>
    </row>
    <row r="1672" spans="1:6" x14ac:dyDescent="0.3">
      <c r="A1672">
        <v>2021</v>
      </c>
      <c r="B1672" t="s">
        <v>59</v>
      </c>
      <c r="C1672" t="s">
        <v>40</v>
      </c>
      <c r="D1672" s="1">
        <v>9521</v>
      </c>
      <c r="E1672" s="1">
        <v>202273</v>
      </c>
      <c r="F1672" s="2">
        <v>84394</v>
      </c>
    </row>
    <row r="1673" spans="1:6" x14ac:dyDescent="0.3">
      <c r="A1673">
        <v>2021</v>
      </c>
      <c r="B1673" t="s">
        <v>59</v>
      </c>
      <c r="C1673" t="s">
        <v>41</v>
      </c>
      <c r="D1673" s="1">
        <v>2347</v>
      </c>
      <c r="E1673" s="1">
        <v>37185</v>
      </c>
      <c r="F1673" s="2">
        <v>71167</v>
      </c>
    </row>
    <row r="1674" spans="1:6" x14ac:dyDescent="0.3">
      <c r="A1674">
        <v>2021</v>
      </c>
      <c r="B1674" t="s">
        <v>59</v>
      </c>
      <c r="C1674" t="s">
        <v>42</v>
      </c>
      <c r="D1674">
        <v>503</v>
      </c>
      <c r="E1674" s="1">
        <v>4478</v>
      </c>
      <c r="F1674" s="2">
        <v>58372</v>
      </c>
    </row>
    <row r="1675" spans="1:6" x14ac:dyDescent="0.3">
      <c r="A1675">
        <v>2021</v>
      </c>
      <c r="B1675" t="s">
        <v>59</v>
      </c>
      <c r="C1675" t="s">
        <v>43</v>
      </c>
      <c r="D1675" s="1">
        <v>4222</v>
      </c>
      <c r="E1675" s="1">
        <v>67623</v>
      </c>
      <c r="F1675" s="2">
        <v>98219</v>
      </c>
    </row>
    <row r="1676" spans="1:6" x14ac:dyDescent="0.3">
      <c r="A1676">
        <v>2021</v>
      </c>
      <c r="B1676" t="s">
        <v>59</v>
      </c>
      <c r="C1676" t="s">
        <v>44</v>
      </c>
      <c r="D1676" s="1">
        <v>4271</v>
      </c>
      <c r="E1676" s="1">
        <v>125798</v>
      </c>
      <c r="F1676" s="2">
        <v>172513</v>
      </c>
    </row>
    <row r="1677" spans="1:6" x14ac:dyDescent="0.3">
      <c r="A1677">
        <v>2021</v>
      </c>
      <c r="B1677" t="s">
        <v>59</v>
      </c>
      <c r="C1677" t="s">
        <v>45</v>
      </c>
      <c r="D1677">
        <v>764</v>
      </c>
      <c r="E1677" s="1">
        <v>8615</v>
      </c>
      <c r="F1677" s="2">
        <v>50474</v>
      </c>
    </row>
    <row r="1678" spans="1:6" x14ac:dyDescent="0.3">
      <c r="A1678">
        <v>2021</v>
      </c>
      <c r="B1678" t="s">
        <v>59</v>
      </c>
      <c r="C1678" t="s">
        <v>46</v>
      </c>
      <c r="D1678" s="1">
        <v>2126</v>
      </c>
      <c r="E1678" s="1">
        <v>47658</v>
      </c>
      <c r="F1678" s="2">
        <v>71912</v>
      </c>
    </row>
    <row r="1679" spans="1:6" x14ac:dyDescent="0.3">
      <c r="A1679">
        <v>2021</v>
      </c>
      <c r="B1679" t="s">
        <v>59</v>
      </c>
      <c r="C1679" t="s">
        <v>47</v>
      </c>
      <c r="D1679">
        <v>389</v>
      </c>
      <c r="E1679" s="1">
        <v>3680</v>
      </c>
      <c r="F1679" s="2">
        <v>46375</v>
      </c>
    </row>
    <row r="1680" spans="1:6" x14ac:dyDescent="0.3">
      <c r="A1680">
        <v>2021</v>
      </c>
      <c r="B1680" t="s">
        <v>60</v>
      </c>
      <c r="C1680" t="s">
        <v>0</v>
      </c>
      <c r="D1680" s="1">
        <v>13089</v>
      </c>
      <c r="E1680" s="1">
        <v>94756</v>
      </c>
      <c r="F1680" s="2">
        <v>66324</v>
      </c>
    </row>
    <row r="1681" spans="1:6" x14ac:dyDescent="0.3">
      <c r="A1681">
        <v>2021</v>
      </c>
      <c r="B1681" t="s">
        <v>60</v>
      </c>
      <c r="C1681" t="s">
        <v>1</v>
      </c>
      <c r="D1681" s="1">
        <v>15754</v>
      </c>
      <c r="E1681" s="1">
        <v>206540</v>
      </c>
      <c r="F1681" s="2">
        <v>68059</v>
      </c>
    </row>
    <row r="1682" spans="1:6" x14ac:dyDescent="0.3">
      <c r="A1682">
        <v>2021</v>
      </c>
      <c r="B1682" t="s">
        <v>60</v>
      </c>
      <c r="C1682" t="s">
        <v>2</v>
      </c>
      <c r="D1682" s="1">
        <v>8251</v>
      </c>
      <c r="E1682" s="1">
        <v>49596</v>
      </c>
      <c r="F1682" s="2">
        <v>55939</v>
      </c>
    </row>
    <row r="1683" spans="1:6" x14ac:dyDescent="0.3">
      <c r="A1683">
        <v>2021</v>
      </c>
      <c r="B1683" t="s">
        <v>60</v>
      </c>
      <c r="C1683" t="s">
        <v>3</v>
      </c>
      <c r="D1683" s="1">
        <v>98024</v>
      </c>
      <c r="E1683" s="1">
        <v>827494</v>
      </c>
      <c r="F1683" s="2">
        <v>104466</v>
      </c>
    </row>
    <row r="1684" spans="1:6" x14ac:dyDescent="0.3">
      <c r="A1684">
        <v>2021</v>
      </c>
      <c r="B1684" t="s">
        <v>60</v>
      </c>
      <c r="C1684" t="s">
        <v>4</v>
      </c>
      <c r="D1684" s="1">
        <v>22552</v>
      </c>
      <c r="E1684" s="1">
        <v>161870</v>
      </c>
      <c r="F1684" s="2">
        <v>81536</v>
      </c>
    </row>
    <row r="1685" spans="1:6" x14ac:dyDescent="0.3">
      <c r="A1685">
        <v>2021</v>
      </c>
      <c r="B1685" t="s">
        <v>60</v>
      </c>
      <c r="C1685" t="s">
        <v>5</v>
      </c>
      <c r="D1685" s="1">
        <v>10779</v>
      </c>
      <c r="E1685" s="1">
        <v>126051</v>
      </c>
      <c r="F1685" s="2">
        <v>152598</v>
      </c>
    </row>
    <row r="1686" spans="1:6" x14ac:dyDescent="0.3">
      <c r="A1686">
        <v>2021</v>
      </c>
      <c r="B1686" t="s">
        <v>60</v>
      </c>
      <c r="C1686" t="s">
        <v>6</v>
      </c>
      <c r="D1686" s="1">
        <v>2800</v>
      </c>
      <c r="E1686" s="1">
        <v>47894</v>
      </c>
      <c r="F1686" s="2">
        <v>92267</v>
      </c>
    </row>
    <row r="1687" spans="1:6" x14ac:dyDescent="0.3">
      <c r="A1687">
        <v>2021</v>
      </c>
      <c r="B1687" t="s">
        <v>60</v>
      </c>
      <c r="C1687" t="s">
        <v>7</v>
      </c>
      <c r="D1687" s="1">
        <v>71616</v>
      </c>
      <c r="E1687" s="1">
        <v>556510</v>
      </c>
      <c r="F1687" s="2">
        <v>72708</v>
      </c>
    </row>
    <row r="1688" spans="1:6" x14ac:dyDescent="0.3">
      <c r="A1688">
        <v>2021</v>
      </c>
      <c r="B1688" t="s">
        <v>60</v>
      </c>
      <c r="C1688" t="s">
        <v>8</v>
      </c>
      <c r="D1688" s="1">
        <v>25978</v>
      </c>
      <c r="E1688" s="1">
        <v>233995</v>
      </c>
      <c r="F1688" s="2">
        <v>81197</v>
      </c>
    </row>
    <row r="1689" spans="1:6" x14ac:dyDescent="0.3">
      <c r="A1689">
        <v>2021</v>
      </c>
      <c r="B1689" t="s">
        <v>60</v>
      </c>
      <c r="C1689" t="s">
        <v>9</v>
      </c>
      <c r="D1689" s="1">
        <v>5522</v>
      </c>
      <c r="E1689" s="1">
        <v>31064</v>
      </c>
      <c r="F1689" s="2">
        <v>53820</v>
      </c>
    </row>
    <row r="1690" spans="1:6" x14ac:dyDescent="0.3">
      <c r="A1690">
        <v>2021</v>
      </c>
      <c r="B1690" t="s">
        <v>60</v>
      </c>
      <c r="C1690" t="s">
        <v>10</v>
      </c>
      <c r="D1690" s="1">
        <v>32114</v>
      </c>
      <c r="E1690" s="1">
        <v>370517</v>
      </c>
      <c r="F1690" s="2">
        <v>104689</v>
      </c>
    </row>
    <row r="1691" spans="1:6" x14ac:dyDescent="0.3">
      <c r="A1691">
        <v>2021</v>
      </c>
      <c r="B1691" t="s">
        <v>60</v>
      </c>
      <c r="C1691" t="s">
        <v>11</v>
      </c>
      <c r="D1691" s="1">
        <v>16124</v>
      </c>
      <c r="E1691" s="1">
        <v>131758</v>
      </c>
      <c r="F1691" s="2">
        <v>62518</v>
      </c>
    </row>
    <row r="1692" spans="1:6" x14ac:dyDescent="0.3">
      <c r="A1692">
        <v>2021</v>
      </c>
      <c r="B1692" t="s">
        <v>60</v>
      </c>
      <c r="C1692" t="s">
        <v>12</v>
      </c>
      <c r="D1692" s="1">
        <v>9983</v>
      </c>
      <c r="E1692" s="1">
        <v>108983</v>
      </c>
      <c r="F1692" s="2">
        <v>71597</v>
      </c>
    </row>
    <row r="1693" spans="1:6" x14ac:dyDescent="0.3">
      <c r="A1693">
        <v>2021</v>
      </c>
      <c r="B1693" t="s">
        <v>60</v>
      </c>
      <c r="C1693" t="s">
        <v>13</v>
      </c>
      <c r="D1693" s="1">
        <v>8858</v>
      </c>
      <c r="E1693" s="1">
        <v>74321</v>
      </c>
      <c r="F1693" s="2">
        <v>65845</v>
      </c>
    </row>
    <row r="1694" spans="1:6" x14ac:dyDescent="0.3">
      <c r="A1694">
        <v>2021</v>
      </c>
      <c r="B1694" t="s">
        <v>60</v>
      </c>
      <c r="C1694" t="s">
        <v>14</v>
      </c>
      <c r="D1694" s="1">
        <v>10845</v>
      </c>
      <c r="E1694" s="1">
        <v>93126</v>
      </c>
      <c r="F1694" s="2">
        <v>64967</v>
      </c>
    </row>
    <row r="1695" spans="1:6" x14ac:dyDescent="0.3">
      <c r="A1695">
        <v>2021</v>
      </c>
      <c r="B1695" t="s">
        <v>60</v>
      </c>
      <c r="C1695" t="s">
        <v>15</v>
      </c>
      <c r="D1695" s="1">
        <v>13618</v>
      </c>
      <c r="E1695" s="1">
        <v>85771</v>
      </c>
      <c r="F1695" s="2">
        <v>59758</v>
      </c>
    </row>
    <row r="1696" spans="1:6" x14ac:dyDescent="0.3">
      <c r="A1696">
        <v>2021</v>
      </c>
      <c r="B1696" t="s">
        <v>60</v>
      </c>
      <c r="C1696" t="s">
        <v>16</v>
      </c>
      <c r="D1696" s="1">
        <v>3827</v>
      </c>
      <c r="E1696" s="1">
        <v>29417</v>
      </c>
      <c r="F1696" s="2">
        <v>65934</v>
      </c>
    </row>
    <row r="1697" spans="1:6" x14ac:dyDescent="0.3">
      <c r="A1697">
        <v>2021</v>
      </c>
      <c r="B1697" t="s">
        <v>60</v>
      </c>
      <c r="C1697" t="s">
        <v>17</v>
      </c>
      <c r="D1697" s="1">
        <v>15099</v>
      </c>
      <c r="E1697" s="1">
        <v>140287</v>
      </c>
      <c r="F1697" s="2">
        <v>90791</v>
      </c>
    </row>
    <row r="1698" spans="1:6" x14ac:dyDescent="0.3">
      <c r="A1698">
        <v>2021</v>
      </c>
      <c r="B1698" t="s">
        <v>60</v>
      </c>
      <c r="C1698" t="s">
        <v>18</v>
      </c>
      <c r="D1698" s="1">
        <v>17270</v>
      </c>
      <c r="E1698" s="1">
        <v>216567</v>
      </c>
      <c r="F1698" s="2">
        <v>136040</v>
      </c>
    </row>
    <row r="1699" spans="1:6" x14ac:dyDescent="0.3">
      <c r="A1699">
        <v>2021</v>
      </c>
      <c r="B1699" t="s">
        <v>60</v>
      </c>
      <c r="C1699" t="s">
        <v>19</v>
      </c>
      <c r="D1699" s="1">
        <v>18942</v>
      </c>
      <c r="E1699" s="1">
        <v>202358</v>
      </c>
      <c r="F1699" s="2">
        <v>69275</v>
      </c>
    </row>
    <row r="1700" spans="1:6" x14ac:dyDescent="0.3">
      <c r="A1700">
        <v>2021</v>
      </c>
      <c r="B1700" t="s">
        <v>60</v>
      </c>
      <c r="C1700" t="s">
        <v>20</v>
      </c>
      <c r="D1700" s="1">
        <v>15467</v>
      </c>
      <c r="E1700" s="1">
        <v>175945</v>
      </c>
      <c r="F1700" s="2">
        <v>91036</v>
      </c>
    </row>
    <row r="1701" spans="1:6" x14ac:dyDescent="0.3">
      <c r="A1701">
        <v>2021</v>
      </c>
      <c r="B1701" t="s">
        <v>60</v>
      </c>
      <c r="C1701" t="s">
        <v>21</v>
      </c>
      <c r="D1701" s="1">
        <v>7854</v>
      </c>
      <c r="E1701" s="1">
        <v>42981</v>
      </c>
      <c r="F1701" s="2">
        <v>51222</v>
      </c>
    </row>
    <row r="1702" spans="1:6" x14ac:dyDescent="0.3">
      <c r="A1702">
        <v>2021</v>
      </c>
      <c r="B1702" t="s">
        <v>60</v>
      </c>
      <c r="C1702" t="s">
        <v>22</v>
      </c>
      <c r="D1702" s="1">
        <v>17661</v>
      </c>
      <c r="E1702" s="1">
        <v>163353</v>
      </c>
      <c r="F1702" s="2">
        <v>68974</v>
      </c>
    </row>
    <row r="1703" spans="1:6" x14ac:dyDescent="0.3">
      <c r="A1703">
        <v>2021</v>
      </c>
      <c r="B1703" t="s">
        <v>60</v>
      </c>
      <c r="C1703" t="s">
        <v>23</v>
      </c>
      <c r="D1703" s="1">
        <v>4178</v>
      </c>
      <c r="E1703" s="1">
        <v>20935</v>
      </c>
      <c r="F1703" s="2">
        <v>56708</v>
      </c>
    </row>
    <row r="1704" spans="1:6" x14ac:dyDescent="0.3">
      <c r="A1704">
        <v>2021</v>
      </c>
      <c r="B1704" t="s">
        <v>60</v>
      </c>
      <c r="C1704" t="s">
        <v>24</v>
      </c>
      <c r="D1704" s="1">
        <v>6481</v>
      </c>
      <c r="E1704" s="1">
        <v>66237</v>
      </c>
      <c r="F1704" s="2">
        <v>63484</v>
      </c>
    </row>
    <row r="1705" spans="1:6" x14ac:dyDescent="0.3">
      <c r="A1705">
        <v>2021</v>
      </c>
      <c r="B1705" t="s">
        <v>60</v>
      </c>
      <c r="C1705" t="s">
        <v>25</v>
      </c>
      <c r="D1705" s="1">
        <v>8856</v>
      </c>
      <c r="E1705" s="1">
        <v>61375</v>
      </c>
      <c r="F1705" s="2">
        <v>63979</v>
      </c>
    </row>
    <row r="1706" spans="1:6" x14ac:dyDescent="0.3">
      <c r="A1706">
        <v>2021</v>
      </c>
      <c r="B1706" t="s">
        <v>60</v>
      </c>
      <c r="C1706" t="s">
        <v>26</v>
      </c>
      <c r="D1706" s="1">
        <v>3835</v>
      </c>
      <c r="E1706" s="1">
        <v>33894</v>
      </c>
      <c r="F1706" s="2">
        <v>91139</v>
      </c>
    </row>
    <row r="1707" spans="1:6" x14ac:dyDescent="0.3">
      <c r="A1707">
        <v>2021</v>
      </c>
      <c r="B1707" t="s">
        <v>60</v>
      </c>
      <c r="C1707" t="s">
        <v>27</v>
      </c>
      <c r="D1707" s="1">
        <v>19625</v>
      </c>
      <c r="E1707" s="1">
        <v>241026</v>
      </c>
      <c r="F1707" s="2">
        <v>111862</v>
      </c>
    </row>
    <row r="1708" spans="1:6" x14ac:dyDescent="0.3">
      <c r="A1708">
        <v>2021</v>
      </c>
      <c r="B1708" t="s">
        <v>60</v>
      </c>
      <c r="C1708" t="s">
        <v>28</v>
      </c>
      <c r="D1708" s="1">
        <v>5092</v>
      </c>
      <c r="E1708" s="1">
        <v>32604</v>
      </c>
      <c r="F1708" s="2">
        <v>53932</v>
      </c>
    </row>
    <row r="1709" spans="1:6" x14ac:dyDescent="0.3">
      <c r="A1709">
        <v>2021</v>
      </c>
      <c r="B1709" t="s">
        <v>60</v>
      </c>
      <c r="C1709" t="s">
        <v>29</v>
      </c>
      <c r="D1709" s="1">
        <v>65326</v>
      </c>
      <c r="E1709" s="1">
        <v>708995</v>
      </c>
      <c r="F1709" s="2">
        <v>189559</v>
      </c>
    </row>
    <row r="1710" spans="1:6" x14ac:dyDescent="0.3">
      <c r="A1710">
        <v>2021</v>
      </c>
      <c r="B1710" t="s">
        <v>60</v>
      </c>
      <c r="C1710" t="s">
        <v>30</v>
      </c>
      <c r="D1710" s="1">
        <v>27332</v>
      </c>
      <c r="E1710" s="1">
        <v>226679</v>
      </c>
      <c r="F1710" s="2">
        <v>82975</v>
      </c>
    </row>
    <row r="1711" spans="1:6" x14ac:dyDescent="0.3">
      <c r="A1711">
        <v>2021</v>
      </c>
      <c r="B1711" t="s">
        <v>60</v>
      </c>
      <c r="C1711" t="s">
        <v>31</v>
      </c>
      <c r="D1711" s="1">
        <v>2979</v>
      </c>
      <c r="E1711" s="1">
        <v>23135</v>
      </c>
      <c r="F1711" s="2">
        <v>60044</v>
      </c>
    </row>
    <row r="1712" spans="1:6" x14ac:dyDescent="0.3">
      <c r="A1712">
        <v>2021</v>
      </c>
      <c r="B1712" t="s">
        <v>60</v>
      </c>
      <c r="C1712" t="s">
        <v>32</v>
      </c>
      <c r="D1712" s="1">
        <v>28537</v>
      </c>
      <c r="E1712" s="1">
        <v>288615</v>
      </c>
      <c r="F1712" s="2">
        <v>69967</v>
      </c>
    </row>
    <row r="1713" spans="1:6" x14ac:dyDescent="0.3">
      <c r="A1713">
        <v>2021</v>
      </c>
      <c r="B1713" t="s">
        <v>60</v>
      </c>
      <c r="C1713" t="s">
        <v>33</v>
      </c>
      <c r="D1713" s="1">
        <v>11379</v>
      </c>
      <c r="E1713" s="1">
        <v>76757</v>
      </c>
      <c r="F1713" s="2">
        <v>56323</v>
      </c>
    </row>
    <row r="1714" spans="1:6" x14ac:dyDescent="0.3">
      <c r="A1714">
        <v>2021</v>
      </c>
      <c r="B1714" t="s">
        <v>60</v>
      </c>
      <c r="C1714" t="s">
        <v>34</v>
      </c>
      <c r="D1714" s="1">
        <v>12686</v>
      </c>
      <c r="E1714" s="1">
        <v>83715</v>
      </c>
      <c r="F1714" s="2">
        <v>67638</v>
      </c>
    </row>
    <row r="1715" spans="1:6" x14ac:dyDescent="0.3">
      <c r="A1715">
        <v>2021</v>
      </c>
      <c r="B1715" t="s">
        <v>60</v>
      </c>
      <c r="C1715" t="s">
        <v>35</v>
      </c>
      <c r="D1715" s="1">
        <v>28479</v>
      </c>
      <c r="E1715" s="1">
        <v>321121</v>
      </c>
      <c r="F1715" s="2">
        <v>85405</v>
      </c>
    </row>
    <row r="1716" spans="1:6" x14ac:dyDescent="0.3">
      <c r="A1716">
        <v>2021</v>
      </c>
      <c r="B1716" t="s">
        <v>60</v>
      </c>
      <c r="C1716" t="s">
        <v>36</v>
      </c>
      <c r="D1716" s="1">
        <v>2802</v>
      </c>
      <c r="E1716" s="1">
        <v>32758</v>
      </c>
      <c r="F1716" s="2">
        <v>89570</v>
      </c>
    </row>
    <row r="1717" spans="1:6" x14ac:dyDescent="0.3">
      <c r="A1717">
        <v>2021</v>
      </c>
      <c r="B1717" t="s">
        <v>60</v>
      </c>
      <c r="C1717" t="s">
        <v>37</v>
      </c>
      <c r="D1717" s="1">
        <v>12653</v>
      </c>
      <c r="E1717" s="1">
        <v>98790</v>
      </c>
      <c r="F1717" s="2">
        <v>59859</v>
      </c>
    </row>
    <row r="1718" spans="1:6" x14ac:dyDescent="0.3">
      <c r="A1718">
        <v>2021</v>
      </c>
      <c r="B1718" t="s">
        <v>60</v>
      </c>
      <c r="C1718" t="s">
        <v>38</v>
      </c>
      <c r="D1718" s="1">
        <v>3221</v>
      </c>
      <c r="E1718" s="1">
        <v>28761</v>
      </c>
      <c r="F1718" s="2">
        <v>57506</v>
      </c>
    </row>
    <row r="1719" spans="1:6" x14ac:dyDescent="0.3">
      <c r="A1719">
        <v>2021</v>
      </c>
      <c r="B1719" t="s">
        <v>60</v>
      </c>
      <c r="C1719" t="s">
        <v>39</v>
      </c>
      <c r="D1719" s="1">
        <v>15531</v>
      </c>
      <c r="E1719" s="1">
        <v>148433</v>
      </c>
      <c r="F1719" s="2">
        <v>71601</v>
      </c>
    </row>
    <row r="1720" spans="1:6" x14ac:dyDescent="0.3">
      <c r="A1720">
        <v>2021</v>
      </c>
      <c r="B1720" t="s">
        <v>60</v>
      </c>
      <c r="C1720" t="s">
        <v>40</v>
      </c>
      <c r="D1720" s="1">
        <v>71279</v>
      </c>
      <c r="E1720" s="1">
        <v>740328</v>
      </c>
      <c r="F1720" s="2">
        <v>80242</v>
      </c>
    </row>
    <row r="1721" spans="1:6" x14ac:dyDescent="0.3">
      <c r="A1721">
        <v>2021</v>
      </c>
      <c r="B1721" t="s">
        <v>60</v>
      </c>
      <c r="C1721" t="s">
        <v>41</v>
      </c>
      <c r="D1721" s="1">
        <v>11066</v>
      </c>
      <c r="E1721" s="1">
        <v>84072</v>
      </c>
      <c r="F1721" s="2">
        <v>64760</v>
      </c>
    </row>
    <row r="1722" spans="1:6" x14ac:dyDescent="0.3">
      <c r="A1722">
        <v>2021</v>
      </c>
      <c r="B1722" t="s">
        <v>60</v>
      </c>
      <c r="C1722" t="s">
        <v>42</v>
      </c>
      <c r="D1722" s="1">
        <v>1700</v>
      </c>
      <c r="E1722" s="1">
        <v>11731</v>
      </c>
      <c r="F1722" s="2">
        <v>70768</v>
      </c>
    </row>
    <row r="1723" spans="1:6" x14ac:dyDescent="0.3">
      <c r="A1723">
        <v>2021</v>
      </c>
      <c r="B1723" t="s">
        <v>60</v>
      </c>
      <c r="C1723" t="s">
        <v>43</v>
      </c>
      <c r="D1723" s="1">
        <v>21609</v>
      </c>
      <c r="E1723" s="1">
        <v>192079</v>
      </c>
      <c r="F1723" s="2">
        <v>82201</v>
      </c>
    </row>
    <row r="1724" spans="1:6" x14ac:dyDescent="0.3">
      <c r="A1724">
        <v>2021</v>
      </c>
      <c r="B1724" t="s">
        <v>60</v>
      </c>
      <c r="C1724" t="s">
        <v>44</v>
      </c>
      <c r="D1724" s="1">
        <v>17184</v>
      </c>
      <c r="E1724" s="1">
        <v>144458</v>
      </c>
      <c r="F1724" s="2">
        <v>76957</v>
      </c>
    </row>
    <row r="1725" spans="1:6" x14ac:dyDescent="0.3">
      <c r="A1725">
        <v>2021</v>
      </c>
      <c r="B1725" t="s">
        <v>60</v>
      </c>
      <c r="C1725" t="s">
        <v>45</v>
      </c>
      <c r="D1725" s="1">
        <v>3992</v>
      </c>
      <c r="E1725" s="1">
        <v>24123</v>
      </c>
      <c r="F1725" s="2">
        <v>50354</v>
      </c>
    </row>
    <row r="1726" spans="1:6" x14ac:dyDescent="0.3">
      <c r="A1726">
        <v>2021</v>
      </c>
      <c r="B1726" t="s">
        <v>60</v>
      </c>
      <c r="C1726" t="s">
        <v>46</v>
      </c>
      <c r="D1726" s="1">
        <v>13244</v>
      </c>
      <c r="E1726" s="1">
        <v>148873</v>
      </c>
      <c r="F1726" s="2">
        <v>68759</v>
      </c>
    </row>
    <row r="1727" spans="1:6" x14ac:dyDescent="0.3">
      <c r="A1727">
        <v>2021</v>
      </c>
      <c r="B1727" t="s">
        <v>60</v>
      </c>
      <c r="C1727" t="s">
        <v>47</v>
      </c>
      <c r="D1727" s="1">
        <v>2248</v>
      </c>
      <c r="E1727" s="1">
        <v>10938</v>
      </c>
      <c r="F1727" s="2">
        <v>54692</v>
      </c>
    </row>
    <row r="1728" spans="1:6" x14ac:dyDescent="0.3">
      <c r="A1728">
        <v>2021</v>
      </c>
      <c r="B1728" t="s">
        <v>61</v>
      </c>
      <c r="C1728" t="s">
        <v>0</v>
      </c>
      <c r="D1728" s="1">
        <v>21426</v>
      </c>
      <c r="E1728" s="1">
        <v>239356</v>
      </c>
      <c r="F1728" s="2">
        <v>53774</v>
      </c>
    </row>
    <row r="1729" spans="1:6" x14ac:dyDescent="0.3">
      <c r="A1729">
        <v>2021</v>
      </c>
      <c r="B1729" t="s">
        <v>61</v>
      </c>
      <c r="C1729" t="s">
        <v>1</v>
      </c>
      <c r="D1729" s="1">
        <v>31059</v>
      </c>
      <c r="E1729" s="1">
        <v>417456</v>
      </c>
      <c r="F1729" s="2">
        <v>55334</v>
      </c>
    </row>
    <row r="1730" spans="1:6" x14ac:dyDescent="0.3">
      <c r="A1730">
        <v>2021</v>
      </c>
      <c r="B1730" t="s">
        <v>61</v>
      </c>
      <c r="C1730" t="s">
        <v>2</v>
      </c>
      <c r="D1730" s="1">
        <v>13845</v>
      </c>
      <c r="E1730" s="1">
        <v>144215</v>
      </c>
      <c r="F1730" s="2">
        <v>59263</v>
      </c>
    </row>
    <row r="1731" spans="1:6" x14ac:dyDescent="0.3">
      <c r="A1731">
        <v>2021</v>
      </c>
      <c r="B1731" t="s">
        <v>61</v>
      </c>
      <c r="C1731" t="s">
        <v>3</v>
      </c>
      <c r="D1731" s="1">
        <v>188712</v>
      </c>
      <c r="E1731" s="1">
        <v>2551444</v>
      </c>
      <c r="F1731" s="2">
        <v>86955</v>
      </c>
    </row>
    <row r="1732" spans="1:6" x14ac:dyDescent="0.3">
      <c r="A1732">
        <v>2021</v>
      </c>
      <c r="B1732" t="s">
        <v>61</v>
      </c>
      <c r="C1732" t="s">
        <v>4</v>
      </c>
      <c r="D1732" s="1">
        <v>50576</v>
      </c>
      <c r="E1732" s="1">
        <v>412889</v>
      </c>
      <c r="F1732" s="2">
        <v>78698</v>
      </c>
    </row>
    <row r="1733" spans="1:6" x14ac:dyDescent="0.3">
      <c r="A1733">
        <v>2021</v>
      </c>
      <c r="B1733" t="s">
        <v>61</v>
      </c>
      <c r="C1733" t="s">
        <v>5</v>
      </c>
      <c r="D1733" s="1">
        <v>22807</v>
      </c>
      <c r="E1733" s="1">
        <v>218450</v>
      </c>
      <c r="F1733" s="2">
        <v>87307</v>
      </c>
    </row>
    <row r="1734" spans="1:6" x14ac:dyDescent="0.3">
      <c r="A1734">
        <v>2021</v>
      </c>
      <c r="B1734" t="s">
        <v>61</v>
      </c>
      <c r="C1734" t="s">
        <v>6</v>
      </c>
      <c r="D1734" s="1">
        <v>8644</v>
      </c>
      <c r="E1734" s="1">
        <v>61956</v>
      </c>
      <c r="F1734" s="2">
        <v>80600</v>
      </c>
    </row>
    <row r="1735" spans="1:6" x14ac:dyDescent="0.3">
      <c r="A1735">
        <v>2021</v>
      </c>
      <c r="B1735" t="s">
        <v>61</v>
      </c>
      <c r="C1735" t="s">
        <v>7</v>
      </c>
      <c r="D1735" s="1">
        <v>156978</v>
      </c>
      <c r="E1735" s="1">
        <v>1322562</v>
      </c>
      <c r="F1735" s="2">
        <v>58653</v>
      </c>
    </row>
    <row r="1736" spans="1:6" x14ac:dyDescent="0.3">
      <c r="A1736">
        <v>2021</v>
      </c>
      <c r="B1736" t="s">
        <v>61</v>
      </c>
      <c r="C1736" t="s">
        <v>8</v>
      </c>
      <c r="D1736" s="1">
        <v>54102</v>
      </c>
      <c r="E1736" s="1">
        <v>668820</v>
      </c>
      <c r="F1736" s="2">
        <v>64724</v>
      </c>
    </row>
    <row r="1737" spans="1:6" x14ac:dyDescent="0.3">
      <c r="A1737">
        <v>2021</v>
      </c>
      <c r="B1737" t="s">
        <v>61</v>
      </c>
      <c r="C1737" t="s">
        <v>9</v>
      </c>
      <c r="D1737" s="1">
        <v>11075</v>
      </c>
      <c r="E1737" s="1">
        <v>88110</v>
      </c>
      <c r="F1737" s="2">
        <v>48653</v>
      </c>
    </row>
    <row r="1738" spans="1:6" x14ac:dyDescent="0.3">
      <c r="A1738">
        <v>2021</v>
      </c>
      <c r="B1738" t="s">
        <v>61</v>
      </c>
      <c r="C1738" t="s">
        <v>10</v>
      </c>
      <c r="D1738" s="1">
        <v>73447</v>
      </c>
      <c r="E1738" s="1">
        <v>942202</v>
      </c>
      <c r="F1738" s="2">
        <v>73829</v>
      </c>
    </row>
    <row r="1739" spans="1:6" x14ac:dyDescent="0.3">
      <c r="A1739">
        <v>2021</v>
      </c>
      <c r="B1739" t="s">
        <v>61</v>
      </c>
      <c r="C1739" t="s">
        <v>11</v>
      </c>
      <c r="D1739" s="1">
        <v>29045</v>
      </c>
      <c r="E1739" s="1">
        <v>336985</v>
      </c>
      <c r="F1739" s="2">
        <v>50796</v>
      </c>
    </row>
    <row r="1740" spans="1:6" x14ac:dyDescent="0.3">
      <c r="A1740">
        <v>2021</v>
      </c>
      <c r="B1740" t="s">
        <v>61</v>
      </c>
      <c r="C1740" t="s">
        <v>12</v>
      </c>
      <c r="D1740" s="1">
        <v>15401</v>
      </c>
      <c r="E1740" s="1">
        <v>139096</v>
      </c>
      <c r="F1740" s="2">
        <v>52293</v>
      </c>
    </row>
    <row r="1741" spans="1:6" x14ac:dyDescent="0.3">
      <c r="A1741">
        <v>2021</v>
      </c>
      <c r="B1741" t="s">
        <v>61</v>
      </c>
      <c r="C1741" t="s">
        <v>13</v>
      </c>
      <c r="D1741" s="1">
        <v>16569</v>
      </c>
      <c r="E1741" s="1">
        <v>177353</v>
      </c>
      <c r="F1741" s="2">
        <v>59048</v>
      </c>
    </row>
    <row r="1742" spans="1:6" x14ac:dyDescent="0.3">
      <c r="A1742">
        <v>2021</v>
      </c>
      <c r="B1742" t="s">
        <v>61</v>
      </c>
      <c r="C1742" t="s">
        <v>14</v>
      </c>
      <c r="D1742" s="1">
        <v>20246</v>
      </c>
      <c r="E1742" s="1">
        <v>214141</v>
      </c>
      <c r="F1742" s="2">
        <v>48829</v>
      </c>
    </row>
    <row r="1743" spans="1:6" x14ac:dyDescent="0.3">
      <c r="A1743">
        <v>2021</v>
      </c>
      <c r="B1743" t="s">
        <v>61</v>
      </c>
      <c r="C1743" t="s">
        <v>15</v>
      </c>
      <c r="D1743" s="1">
        <v>24001</v>
      </c>
      <c r="E1743" s="1">
        <v>209874</v>
      </c>
      <c r="F1743" s="2">
        <v>55218</v>
      </c>
    </row>
    <row r="1744" spans="1:6" x14ac:dyDescent="0.3">
      <c r="A1744">
        <v>2021</v>
      </c>
      <c r="B1744" t="s">
        <v>61</v>
      </c>
      <c r="C1744" t="s">
        <v>16</v>
      </c>
      <c r="D1744" s="1">
        <v>9912</v>
      </c>
      <c r="E1744" s="1">
        <v>66736</v>
      </c>
      <c r="F1744" s="2">
        <v>55405</v>
      </c>
    </row>
    <row r="1745" spans="1:6" x14ac:dyDescent="0.3">
      <c r="A1745">
        <v>2021</v>
      </c>
      <c r="B1745" t="s">
        <v>61</v>
      </c>
      <c r="C1745" t="s">
        <v>17</v>
      </c>
      <c r="D1745" s="1">
        <v>42175</v>
      </c>
      <c r="E1745" s="1">
        <v>443764</v>
      </c>
      <c r="F1745" s="2">
        <v>77259</v>
      </c>
    </row>
    <row r="1746" spans="1:6" x14ac:dyDescent="0.3">
      <c r="A1746">
        <v>2021</v>
      </c>
      <c r="B1746" t="s">
        <v>61</v>
      </c>
      <c r="C1746" t="s">
        <v>18</v>
      </c>
      <c r="D1746" s="1">
        <v>47186</v>
      </c>
      <c r="E1746" s="1">
        <v>566190</v>
      </c>
      <c r="F1746" s="2">
        <v>102580</v>
      </c>
    </row>
    <row r="1747" spans="1:6" x14ac:dyDescent="0.3">
      <c r="A1747">
        <v>2021</v>
      </c>
      <c r="B1747" t="s">
        <v>61</v>
      </c>
      <c r="C1747" t="s">
        <v>19</v>
      </c>
      <c r="D1747" s="1">
        <v>42271</v>
      </c>
      <c r="E1747" s="1">
        <v>645279</v>
      </c>
      <c r="F1747" s="2">
        <v>68677</v>
      </c>
    </row>
    <row r="1748" spans="1:6" x14ac:dyDescent="0.3">
      <c r="A1748">
        <v>2021</v>
      </c>
      <c r="B1748" t="s">
        <v>61</v>
      </c>
      <c r="C1748" t="s">
        <v>20</v>
      </c>
      <c r="D1748" s="1">
        <v>29916</v>
      </c>
      <c r="E1748" s="1">
        <v>373603</v>
      </c>
      <c r="F1748" s="2">
        <v>80794</v>
      </c>
    </row>
    <row r="1749" spans="1:6" x14ac:dyDescent="0.3">
      <c r="A1749">
        <v>2021</v>
      </c>
      <c r="B1749" t="s">
        <v>61</v>
      </c>
      <c r="C1749" t="s">
        <v>21</v>
      </c>
      <c r="D1749" s="1">
        <v>11953</v>
      </c>
      <c r="E1749" s="1">
        <v>107737</v>
      </c>
      <c r="F1749" s="2">
        <v>41461</v>
      </c>
    </row>
    <row r="1750" spans="1:6" x14ac:dyDescent="0.3">
      <c r="A1750">
        <v>2021</v>
      </c>
      <c r="B1750" t="s">
        <v>61</v>
      </c>
      <c r="C1750" t="s">
        <v>22</v>
      </c>
      <c r="D1750" s="1">
        <v>33699</v>
      </c>
      <c r="E1750" s="1">
        <v>381525</v>
      </c>
      <c r="F1750" s="2">
        <v>63932</v>
      </c>
    </row>
    <row r="1751" spans="1:6" x14ac:dyDescent="0.3">
      <c r="A1751">
        <v>2021</v>
      </c>
      <c r="B1751" t="s">
        <v>61</v>
      </c>
      <c r="C1751" t="s">
        <v>23</v>
      </c>
      <c r="D1751" s="1">
        <v>8994</v>
      </c>
      <c r="E1751" s="1">
        <v>41010</v>
      </c>
      <c r="F1751" s="2">
        <v>50921</v>
      </c>
    </row>
    <row r="1752" spans="1:6" x14ac:dyDescent="0.3">
      <c r="A1752">
        <v>2021</v>
      </c>
      <c r="B1752" t="s">
        <v>61</v>
      </c>
      <c r="C1752" t="s">
        <v>24</v>
      </c>
      <c r="D1752" s="1">
        <v>11395</v>
      </c>
      <c r="E1752" s="1">
        <v>117542</v>
      </c>
      <c r="F1752" s="2">
        <v>59204</v>
      </c>
    </row>
    <row r="1753" spans="1:6" x14ac:dyDescent="0.3">
      <c r="A1753">
        <v>2021</v>
      </c>
      <c r="B1753" t="s">
        <v>61</v>
      </c>
      <c r="C1753" t="s">
        <v>25</v>
      </c>
      <c r="D1753" s="1">
        <v>19521</v>
      </c>
      <c r="E1753" s="1">
        <v>181485</v>
      </c>
      <c r="F1753" s="2">
        <v>58283</v>
      </c>
    </row>
    <row r="1754" spans="1:6" x14ac:dyDescent="0.3">
      <c r="A1754">
        <v>2021</v>
      </c>
      <c r="B1754" t="s">
        <v>61</v>
      </c>
      <c r="C1754" t="s">
        <v>26</v>
      </c>
      <c r="D1754" s="1">
        <v>11938</v>
      </c>
      <c r="E1754" s="1">
        <v>81761</v>
      </c>
      <c r="F1754" s="2">
        <v>75584</v>
      </c>
    </row>
    <row r="1755" spans="1:6" x14ac:dyDescent="0.3">
      <c r="A1755">
        <v>2021</v>
      </c>
      <c r="B1755" t="s">
        <v>61</v>
      </c>
      <c r="C1755" t="s">
        <v>27</v>
      </c>
      <c r="D1755" s="1">
        <v>50907</v>
      </c>
      <c r="E1755" s="1">
        <v>663584</v>
      </c>
      <c r="F1755" s="2">
        <v>88404</v>
      </c>
    </row>
    <row r="1756" spans="1:6" x14ac:dyDescent="0.3">
      <c r="A1756">
        <v>2021</v>
      </c>
      <c r="B1756" t="s">
        <v>61</v>
      </c>
      <c r="C1756" t="s">
        <v>28</v>
      </c>
      <c r="D1756" s="1">
        <v>10062</v>
      </c>
      <c r="E1756" s="1">
        <v>104434</v>
      </c>
      <c r="F1756" s="2">
        <v>60086</v>
      </c>
    </row>
    <row r="1757" spans="1:6" x14ac:dyDescent="0.3">
      <c r="A1757">
        <v>2021</v>
      </c>
      <c r="B1757" t="s">
        <v>61</v>
      </c>
      <c r="C1757" t="s">
        <v>29</v>
      </c>
      <c r="D1757" s="1">
        <v>111646</v>
      </c>
      <c r="E1757" s="1">
        <v>1314408</v>
      </c>
      <c r="F1757" s="2">
        <v>92549</v>
      </c>
    </row>
    <row r="1758" spans="1:6" x14ac:dyDescent="0.3">
      <c r="A1758">
        <v>2021</v>
      </c>
      <c r="B1758" t="s">
        <v>61</v>
      </c>
      <c r="C1758" t="s">
        <v>30</v>
      </c>
      <c r="D1758" s="1">
        <v>57179</v>
      </c>
      <c r="E1758" s="1">
        <v>616193</v>
      </c>
      <c r="F1758" s="2">
        <v>62617</v>
      </c>
    </row>
    <row r="1759" spans="1:6" x14ac:dyDescent="0.3">
      <c r="A1759">
        <v>2021</v>
      </c>
      <c r="B1759" t="s">
        <v>61</v>
      </c>
      <c r="C1759" t="s">
        <v>31</v>
      </c>
      <c r="D1759" s="1">
        <v>4917</v>
      </c>
      <c r="E1759" s="1">
        <v>34300</v>
      </c>
      <c r="F1759" s="2">
        <v>59438</v>
      </c>
    </row>
    <row r="1760" spans="1:6" x14ac:dyDescent="0.3">
      <c r="A1760">
        <v>2021</v>
      </c>
      <c r="B1760" t="s">
        <v>61</v>
      </c>
      <c r="C1760" t="s">
        <v>32</v>
      </c>
      <c r="D1760" s="1">
        <v>52650</v>
      </c>
      <c r="E1760" s="1">
        <v>724748</v>
      </c>
      <c r="F1760" s="2">
        <v>62445</v>
      </c>
    </row>
    <row r="1761" spans="1:6" x14ac:dyDescent="0.3">
      <c r="A1761">
        <v>2021</v>
      </c>
      <c r="B1761" t="s">
        <v>61</v>
      </c>
      <c r="C1761" t="s">
        <v>33</v>
      </c>
      <c r="D1761" s="1">
        <v>20434</v>
      </c>
      <c r="E1761" s="1">
        <v>185534</v>
      </c>
      <c r="F1761" s="2">
        <v>50640</v>
      </c>
    </row>
    <row r="1762" spans="1:6" x14ac:dyDescent="0.3">
      <c r="A1762">
        <v>2021</v>
      </c>
      <c r="B1762" t="s">
        <v>61</v>
      </c>
      <c r="C1762" t="s">
        <v>34</v>
      </c>
      <c r="D1762" s="1">
        <v>24942</v>
      </c>
      <c r="E1762" s="1">
        <v>242708</v>
      </c>
      <c r="F1762" s="2">
        <v>67873</v>
      </c>
    </row>
    <row r="1763" spans="1:6" x14ac:dyDescent="0.3">
      <c r="A1763">
        <v>2021</v>
      </c>
      <c r="B1763" t="s">
        <v>61</v>
      </c>
      <c r="C1763" t="s">
        <v>35</v>
      </c>
      <c r="D1763" s="1">
        <v>61779</v>
      </c>
      <c r="E1763" s="1">
        <v>799939</v>
      </c>
      <c r="F1763" s="2">
        <v>76029</v>
      </c>
    </row>
    <row r="1764" spans="1:6" x14ac:dyDescent="0.3">
      <c r="A1764">
        <v>2021</v>
      </c>
      <c r="B1764" t="s">
        <v>61</v>
      </c>
      <c r="C1764" t="s">
        <v>36</v>
      </c>
      <c r="D1764" s="1">
        <v>8350</v>
      </c>
      <c r="E1764" s="1">
        <v>67366</v>
      </c>
      <c r="F1764" s="2">
        <v>67763</v>
      </c>
    </row>
    <row r="1765" spans="1:6" x14ac:dyDescent="0.3">
      <c r="A1765">
        <v>2021</v>
      </c>
      <c r="B1765" t="s">
        <v>61</v>
      </c>
      <c r="C1765" t="s">
        <v>37</v>
      </c>
      <c r="D1765" s="1">
        <v>25902</v>
      </c>
      <c r="E1765" s="1">
        <v>280711</v>
      </c>
      <c r="F1765" s="2">
        <v>49505</v>
      </c>
    </row>
    <row r="1766" spans="1:6" x14ac:dyDescent="0.3">
      <c r="A1766">
        <v>2021</v>
      </c>
      <c r="B1766" t="s">
        <v>61</v>
      </c>
      <c r="C1766" t="s">
        <v>38</v>
      </c>
      <c r="D1766" s="1">
        <v>5030</v>
      </c>
      <c r="E1766" s="1">
        <v>31264</v>
      </c>
      <c r="F1766" s="2">
        <v>55293</v>
      </c>
    </row>
    <row r="1767" spans="1:6" x14ac:dyDescent="0.3">
      <c r="A1767">
        <v>2021</v>
      </c>
      <c r="B1767" t="s">
        <v>61</v>
      </c>
      <c r="C1767" t="s">
        <v>39</v>
      </c>
      <c r="D1767" s="1">
        <v>28315</v>
      </c>
      <c r="E1767" s="1">
        <v>407133</v>
      </c>
      <c r="F1767" s="2">
        <v>56172</v>
      </c>
    </row>
    <row r="1768" spans="1:6" x14ac:dyDescent="0.3">
      <c r="A1768">
        <v>2021</v>
      </c>
      <c r="B1768" t="s">
        <v>61</v>
      </c>
      <c r="C1768" t="s">
        <v>40</v>
      </c>
      <c r="D1768" s="1">
        <v>129242</v>
      </c>
      <c r="E1768" s="1">
        <v>1666865</v>
      </c>
      <c r="F1768" s="2">
        <v>71507</v>
      </c>
    </row>
    <row r="1769" spans="1:6" x14ac:dyDescent="0.3">
      <c r="A1769">
        <v>2021</v>
      </c>
      <c r="B1769" t="s">
        <v>61</v>
      </c>
      <c r="C1769" t="s">
        <v>41</v>
      </c>
      <c r="D1769" s="1">
        <v>21911</v>
      </c>
      <c r="E1769" s="1">
        <v>205052</v>
      </c>
      <c r="F1769" s="2">
        <v>56815</v>
      </c>
    </row>
    <row r="1770" spans="1:6" x14ac:dyDescent="0.3">
      <c r="A1770">
        <v>2021</v>
      </c>
      <c r="B1770" t="s">
        <v>61</v>
      </c>
      <c r="C1770" t="s">
        <v>42</v>
      </c>
      <c r="D1770" s="1">
        <v>5488</v>
      </c>
      <c r="E1770" s="1">
        <v>28484</v>
      </c>
      <c r="F1770" s="2">
        <v>63457</v>
      </c>
    </row>
    <row r="1771" spans="1:6" x14ac:dyDescent="0.3">
      <c r="A1771">
        <v>2021</v>
      </c>
      <c r="B1771" t="s">
        <v>61</v>
      </c>
      <c r="C1771" t="s">
        <v>43</v>
      </c>
      <c r="D1771" s="1">
        <v>57146</v>
      </c>
      <c r="E1771" s="1">
        <v>725936</v>
      </c>
      <c r="F1771" s="2">
        <v>84971</v>
      </c>
    </row>
    <row r="1772" spans="1:6" x14ac:dyDescent="0.3">
      <c r="A1772">
        <v>2021</v>
      </c>
      <c r="B1772" t="s">
        <v>61</v>
      </c>
      <c r="C1772" t="s">
        <v>44</v>
      </c>
      <c r="D1772" s="1">
        <v>39177</v>
      </c>
      <c r="E1772" s="1">
        <v>404782</v>
      </c>
      <c r="F1772" s="2">
        <v>76348</v>
      </c>
    </row>
    <row r="1773" spans="1:6" x14ac:dyDescent="0.3">
      <c r="A1773">
        <v>2021</v>
      </c>
      <c r="B1773" t="s">
        <v>61</v>
      </c>
      <c r="C1773" t="s">
        <v>45</v>
      </c>
      <c r="D1773" s="1">
        <v>8077</v>
      </c>
      <c r="E1773" s="1">
        <v>66420</v>
      </c>
      <c r="F1773" s="2">
        <v>48213</v>
      </c>
    </row>
    <row r="1774" spans="1:6" x14ac:dyDescent="0.3">
      <c r="A1774">
        <v>2021</v>
      </c>
      <c r="B1774" t="s">
        <v>61</v>
      </c>
      <c r="C1774" t="s">
        <v>46</v>
      </c>
      <c r="D1774" s="1">
        <v>23769</v>
      </c>
      <c r="E1774" s="1">
        <v>324012</v>
      </c>
      <c r="F1774" s="2">
        <v>57868</v>
      </c>
    </row>
    <row r="1775" spans="1:6" x14ac:dyDescent="0.3">
      <c r="A1775">
        <v>2021</v>
      </c>
      <c r="B1775" t="s">
        <v>61</v>
      </c>
      <c r="C1775" t="s">
        <v>47</v>
      </c>
      <c r="D1775" s="1">
        <v>4417</v>
      </c>
      <c r="E1775" s="1">
        <v>18050</v>
      </c>
      <c r="F1775" s="2">
        <v>50226</v>
      </c>
    </row>
    <row r="1776" spans="1:6" x14ac:dyDescent="0.3">
      <c r="A1776">
        <v>2021</v>
      </c>
      <c r="B1776" t="s">
        <v>62</v>
      </c>
      <c r="C1776" t="s">
        <v>0</v>
      </c>
      <c r="D1776" s="1">
        <v>12429</v>
      </c>
      <c r="E1776" s="1">
        <v>229821</v>
      </c>
      <c r="F1776" s="2">
        <v>45641</v>
      </c>
    </row>
    <row r="1777" spans="1:6" x14ac:dyDescent="0.3">
      <c r="A1777">
        <v>2021</v>
      </c>
      <c r="B1777" t="s">
        <v>62</v>
      </c>
      <c r="C1777" t="s">
        <v>1</v>
      </c>
      <c r="D1777" s="1">
        <v>16509</v>
      </c>
      <c r="E1777" s="1">
        <v>420129</v>
      </c>
      <c r="F1777" s="2">
        <v>50240</v>
      </c>
    </row>
    <row r="1778" spans="1:6" x14ac:dyDescent="0.3">
      <c r="A1778">
        <v>2021</v>
      </c>
      <c r="B1778" t="s">
        <v>62</v>
      </c>
      <c r="C1778" t="s">
        <v>2</v>
      </c>
      <c r="D1778" s="1">
        <v>15762</v>
      </c>
      <c r="E1778" s="1">
        <v>183433</v>
      </c>
      <c r="F1778" s="2">
        <v>41521</v>
      </c>
    </row>
    <row r="1779" spans="1:6" x14ac:dyDescent="0.3">
      <c r="A1779">
        <v>2021</v>
      </c>
      <c r="B1779" t="s">
        <v>62</v>
      </c>
      <c r="C1779" t="s">
        <v>3</v>
      </c>
      <c r="D1779" s="1">
        <v>593987</v>
      </c>
      <c r="E1779" s="1">
        <v>2560907</v>
      </c>
      <c r="F1779" s="2">
        <v>50766</v>
      </c>
    </row>
    <row r="1780" spans="1:6" x14ac:dyDescent="0.3">
      <c r="A1780">
        <v>2021</v>
      </c>
      <c r="B1780" t="s">
        <v>62</v>
      </c>
      <c r="C1780" t="s">
        <v>4</v>
      </c>
      <c r="D1780" s="1">
        <v>21356</v>
      </c>
      <c r="E1780" s="1">
        <v>328843</v>
      </c>
      <c r="F1780" s="2">
        <v>48754</v>
      </c>
    </row>
    <row r="1781" spans="1:6" x14ac:dyDescent="0.3">
      <c r="A1781">
        <v>2021</v>
      </c>
      <c r="B1781" t="s">
        <v>62</v>
      </c>
      <c r="C1781" t="s">
        <v>5</v>
      </c>
      <c r="D1781" s="1">
        <v>12701</v>
      </c>
      <c r="E1781" s="1">
        <v>325348</v>
      </c>
      <c r="F1781" s="2">
        <v>53993</v>
      </c>
    </row>
    <row r="1782" spans="1:6" x14ac:dyDescent="0.3">
      <c r="A1782">
        <v>2021</v>
      </c>
      <c r="B1782" t="s">
        <v>62</v>
      </c>
      <c r="C1782" t="s">
        <v>6</v>
      </c>
      <c r="D1782" s="1">
        <v>4626</v>
      </c>
      <c r="E1782" s="1">
        <v>73879</v>
      </c>
      <c r="F1782" s="2">
        <v>53083</v>
      </c>
    </row>
    <row r="1783" spans="1:6" x14ac:dyDescent="0.3">
      <c r="A1783">
        <v>2021</v>
      </c>
      <c r="B1783" t="s">
        <v>62</v>
      </c>
      <c r="C1783" t="s">
        <v>7</v>
      </c>
      <c r="D1783" s="1">
        <v>71929</v>
      </c>
      <c r="E1783" s="1">
        <v>1258710</v>
      </c>
      <c r="F1783" s="2">
        <v>49450</v>
      </c>
    </row>
    <row r="1784" spans="1:6" x14ac:dyDescent="0.3">
      <c r="A1784">
        <v>2021</v>
      </c>
      <c r="B1784" t="s">
        <v>62</v>
      </c>
      <c r="C1784" t="s">
        <v>8</v>
      </c>
      <c r="D1784" s="1">
        <v>28426</v>
      </c>
      <c r="E1784" s="1">
        <v>546707</v>
      </c>
      <c r="F1784" s="2">
        <v>50819</v>
      </c>
    </row>
    <row r="1785" spans="1:6" x14ac:dyDescent="0.3">
      <c r="A1785">
        <v>2021</v>
      </c>
      <c r="B1785" t="s">
        <v>62</v>
      </c>
      <c r="C1785" t="s">
        <v>9</v>
      </c>
      <c r="D1785" s="1">
        <v>7292</v>
      </c>
      <c r="E1785" s="1">
        <v>96246</v>
      </c>
      <c r="F1785" s="2">
        <v>40927</v>
      </c>
    </row>
    <row r="1786" spans="1:6" x14ac:dyDescent="0.3">
      <c r="A1786">
        <v>2021</v>
      </c>
      <c r="B1786" t="s">
        <v>62</v>
      </c>
      <c r="C1786" t="s">
        <v>10</v>
      </c>
      <c r="D1786" s="1">
        <v>34414</v>
      </c>
      <c r="E1786" s="1">
        <v>910288</v>
      </c>
      <c r="F1786" s="2">
        <v>49347</v>
      </c>
    </row>
    <row r="1787" spans="1:6" x14ac:dyDescent="0.3">
      <c r="A1787">
        <v>2021</v>
      </c>
      <c r="B1787" t="s">
        <v>62</v>
      </c>
      <c r="C1787" t="s">
        <v>11</v>
      </c>
      <c r="D1787" s="1">
        <v>15254</v>
      </c>
      <c r="E1787" s="1">
        <v>452646</v>
      </c>
      <c r="F1787" s="2">
        <v>46791</v>
      </c>
    </row>
    <row r="1788" spans="1:6" x14ac:dyDescent="0.3">
      <c r="A1788">
        <v>2021</v>
      </c>
      <c r="B1788" t="s">
        <v>62</v>
      </c>
      <c r="C1788" t="s">
        <v>12</v>
      </c>
      <c r="D1788" s="1">
        <v>11324</v>
      </c>
      <c r="E1788" s="1">
        <v>219362</v>
      </c>
      <c r="F1788" s="2">
        <v>42092</v>
      </c>
    </row>
    <row r="1789" spans="1:6" x14ac:dyDescent="0.3">
      <c r="A1789">
        <v>2021</v>
      </c>
      <c r="B1789" t="s">
        <v>62</v>
      </c>
      <c r="C1789" t="s">
        <v>13</v>
      </c>
      <c r="D1789" s="1">
        <v>10129</v>
      </c>
      <c r="E1789" s="1">
        <v>192638</v>
      </c>
      <c r="F1789" s="2">
        <v>41465</v>
      </c>
    </row>
    <row r="1790" spans="1:6" x14ac:dyDescent="0.3">
      <c r="A1790">
        <v>2021</v>
      </c>
      <c r="B1790" t="s">
        <v>62</v>
      </c>
      <c r="C1790" t="s">
        <v>14</v>
      </c>
      <c r="D1790" s="1">
        <v>17849</v>
      </c>
      <c r="E1790" s="1">
        <v>262151</v>
      </c>
      <c r="F1790" s="2">
        <v>47340</v>
      </c>
    </row>
    <row r="1791" spans="1:6" x14ac:dyDescent="0.3">
      <c r="A1791">
        <v>2021</v>
      </c>
      <c r="B1791" t="s">
        <v>62</v>
      </c>
      <c r="C1791" t="s">
        <v>15</v>
      </c>
      <c r="D1791" s="1">
        <v>15003</v>
      </c>
      <c r="E1791" s="1">
        <v>297694</v>
      </c>
      <c r="F1791" s="2">
        <v>42305</v>
      </c>
    </row>
    <row r="1792" spans="1:6" x14ac:dyDescent="0.3">
      <c r="A1792">
        <v>2021</v>
      </c>
      <c r="B1792" t="s">
        <v>62</v>
      </c>
      <c r="C1792" t="s">
        <v>16</v>
      </c>
      <c r="D1792" s="1">
        <v>6292</v>
      </c>
      <c r="E1792" s="1">
        <v>118412</v>
      </c>
      <c r="F1792" s="2">
        <v>45937</v>
      </c>
    </row>
    <row r="1793" spans="1:6" x14ac:dyDescent="0.3">
      <c r="A1793">
        <v>2021</v>
      </c>
      <c r="B1793" t="s">
        <v>62</v>
      </c>
      <c r="C1793" t="s">
        <v>17</v>
      </c>
      <c r="D1793" s="1">
        <v>20270</v>
      </c>
      <c r="E1793" s="1">
        <v>436185</v>
      </c>
      <c r="F1793" s="2">
        <v>53201</v>
      </c>
    </row>
    <row r="1794" spans="1:6" x14ac:dyDescent="0.3">
      <c r="A1794">
        <v>2021</v>
      </c>
      <c r="B1794" t="s">
        <v>62</v>
      </c>
      <c r="C1794" t="s">
        <v>18</v>
      </c>
      <c r="D1794" s="1">
        <v>61589</v>
      </c>
      <c r="E1794" s="1">
        <v>769824</v>
      </c>
      <c r="F1794" s="2">
        <v>57794</v>
      </c>
    </row>
    <row r="1795" spans="1:6" x14ac:dyDescent="0.3">
      <c r="A1795">
        <v>2021</v>
      </c>
      <c r="B1795" t="s">
        <v>62</v>
      </c>
      <c r="C1795" t="s">
        <v>19</v>
      </c>
      <c r="D1795" s="1">
        <v>24957</v>
      </c>
      <c r="E1795" s="1">
        <v>656020</v>
      </c>
      <c r="F1795" s="2">
        <v>48406</v>
      </c>
    </row>
    <row r="1796" spans="1:6" x14ac:dyDescent="0.3">
      <c r="A1796">
        <v>2021</v>
      </c>
      <c r="B1796" t="s">
        <v>62</v>
      </c>
      <c r="C1796" t="s">
        <v>20</v>
      </c>
      <c r="D1796" s="1">
        <v>17543</v>
      </c>
      <c r="E1796" s="1">
        <v>514711</v>
      </c>
      <c r="F1796" s="2">
        <v>49720</v>
      </c>
    </row>
    <row r="1797" spans="1:6" x14ac:dyDescent="0.3">
      <c r="A1797">
        <v>2021</v>
      </c>
      <c r="B1797" t="s">
        <v>62</v>
      </c>
      <c r="C1797" t="s">
        <v>21</v>
      </c>
      <c r="D1797" s="1">
        <v>7420</v>
      </c>
      <c r="E1797" s="1">
        <v>142412</v>
      </c>
      <c r="F1797" s="2">
        <v>40426</v>
      </c>
    </row>
    <row r="1798" spans="1:6" x14ac:dyDescent="0.3">
      <c r="A1798">
        <v>2021</v>
      </c>
      <c r="B1798" t="s">
        <v>62</v>
      </c>
      <c r="C1798" t="s">
        <v>22</v>
      </c>
      <c r="D1798" s="1">
        <v>48626</v>
      </c>
      <c r="E1798" s="1">
        <v>450671</v>
      </c>
      <c r="F1798" s="2">
        <v>44800</v>
      </c>
    </row>
    <row r="1799" spans="1:6" x14ac:dyDescent="0.3">
      <c r="A1799">
        <v>2021</v>
      </c>
      <c r="B1799" t="s">
        <v>62</v>
      </c>
      <c r="C1799" t="s">
        <v>23</v>
      </c>
      <c r="D1799" s="1">
        <v>4448</v>
      </c>
      <c r="E1799" s="1">
        <v>73262</v>
      </c>
      <c r="F1799" s="2">
        <v>46171</v>
      </c>
    </row>
    <row r="1800" spans="1:6" x14ac:dyDescent="0.3">
      <c r="A1800">
        <v>2021</v>
      </c>
      <c r="B1800" t="s">
        <v>62</v>
      </c>
      <c r="C1800" t="s">
        <v>24</v>
      </c>
      <c r="D1800" s="1">
        <v>13241</v>
      </c>
      <c r="E1800" s="1">
        <v>136970</v>
      </c>
      <c r="F1800" s="2">
        <v>44565</v>
      </c>
    </row>
    <row r="1801" spans="1:6" x14ac:dyDescent="0.3">
      <c r="A1801">
        <v>2021</v>
      </c>
      <c r="B1801" t="s">
        <v>62</v>
      </c>
      <c r="C1801" t="s">
        <v>25</v>
      </c>
      <c r="D1801" s="1">
        <v>8681</v>
      </c>
      <c r="E1801" s="1">
        <v>131756</v>
      </c>
      <c r="F1801" s="2">
        <v>53119</v>
      </c>
    </row>
    <row r="1802" spans="1:6" x14ac:dyDescent="0.3">
      <c r="A1802">
        <v>2021</v>
      </c>
      <c r="B1802" t="s">
        <v>62</v>
      </c>
      <c r="C1802" t="s">
        <v>26</v>
      </c>
      <c r="D1802" s="1">
        <v>4635</v>
      </c>
      <c r="E1802" s="1">
        <v>111212</v>
      </c>
      <c r="F1802" s="2">
        <v>54599</v>
      </c>
    </row>
    <row r="1803" spans="1:6" x14ac:dyDescent="0.3">
      <c r="A1803">
        <v>2021</v>
      </c>
      <c r="B1803" t="s">
        <v>62</v>
      </c>
      <c r="C1803" t="s">
        <v>27</v>
      </c>
      <c r="D1803" s="1">
        <v>33411</v>
      </c>
      <c r="E1803" s="1">
        <v>644049</v>
      </c>
      <c r="F1803" s="2">
        <v>52138</v>
      </c>
    </row>
    <row r="1804" spans="1:6" x14ac:dyDescent="0.3">
      <c r="A1804">
        <v>2021</v>
      </c>
      <c r="B1804" t="s">
        <v>62</v>
      </c>
      <c r="C1804" t="s">
        <v>28</v>
      </c>
      <c r="D1804" s="1">
        <v>9629</v>
      </c>
      <c r="E1804" s="1">
        <v>127804</v>
      </c>
      <c r="F1804" s="2">
        <v>40621</v>
      </c>
    </row>
    <row r="1805" spans="1:6" x14ac:dyDescent="0.3">
      <c r="A1805">
        <v>2021</v>
      </c>
      <c r="B1805" t="s">
        <v>62</v>
      </c>
      <c r="C1805" t="s">
        <v>29</v>
      </c>
      <c r="D1805" s="1">
        <v>67533</v>
      </c>
      <c r="E1805" s="1">
        <v>1847585</v>
      </c>
      <c r="F1805" s="2">
        <v>51932</v>
      </c>
    </row>
    <row r="1806" spans="1:6" x14ac:dyDescent="0.3">
      <c r="A1806">
        <v>2021</v>
      </c>
      <c r="B1806" t="s">
        <v>62</v>
      </c>
      <c r="C1806" t="s">
        <v>30</v>
      </c>
      <c r="D1806" s="1">
        <v>26885</v>
      </c>
      <c r="E1806" s="1">
        <v>578637</v>
      </c>
      <c r="F1806" s="2">
        <v>47135</v>
      </c>
    </row>
    <row r="1807" spans="1:6" x14ac:dyDescent="0.3">
      <c r="A1807">
        <v>2021</v>
      </c>
      <c r="B1807" t="s">
        <v>62</v>
      </c>
      <c r="C1807" t="s">
        <v>31</v>
      </c>
      <c r="D1807" s="1">
        <v>2484</v>
      </c>
      <c r="E1807" s="1">
        <v>61847</v>
      </c>
      <c r="F1807" s="2">
        <v>49915</v>
      </c>
    </row>
    <row r="1808" spans="1:6" x14ac:dyDescent="0.3">
      <c r="A1808">
        <v>2021</v>
      </c>
      <c r="B1808" t="s">
        <v>62</v>
      </c>
      <c r="C1808" t="s">
        <v>32</v>
      </c>
      <c r="D1808" s="1">
        <v>34090</v>
      </c>
      <c r="E1808" s="1">
        <v>897244</v>
      </c>
      <c r="F1808" s="2">
        <v>45314</v>
      </c>
    </row>
    <row r="1809" spans="1:6" x14ac:dyDescent="0.3">
      <c r="A1809">
        <v>2021</v>
      </c>
      <c r="B1809" t="s">
        <v>62</v>
      </c>
      <c r="C1809" t="s">
        <v>33</v>
      </c>
      <c r="D1809" s="1">
        <v>13367</v>
      </c>
      <c r="E1809" s="1">
        <v>208934</v>
      </c>
      <c r="F1809" s="2">
        <v>44167</v>
      </c>
    </row>
    <row r="1810" spans="1:6" x14ac:dyDescent="0.3">
      <c r="A1810">
        <v>2021</v>
      </c>
      <c r="B1810" t="s">
        <v>62</v>
      </c>
      <c r="C1810" t="s">
        <v>34</v>
      </c>
      <c r="D1810" s="1">
        <v>15363</v>
      </c>
      <c r="E1810" s="1">
        <v>266489</v>
      </c>
      <c r="F1810" s="2">
        <v>50908</v>
      </c>
    </row>
    <row r="1811" spans="1:6" x14ac:dyDescent="0.3">
      <c r="A1811">
        <v>2021</v>
      </c>
      <c r="B1811" t="s">
        <v>62</v>
      </c>
      <c r="C1811" t="s">
        <v>35</v>
      </c>
      <c r="D1811" s="1">
        <v>58709</v>
      </c>
      <c r="E1811" s="1">
        <v>1179271</v>
      </c>
      <c r="F1811" s="2">
        <v>50500</v>
      </c>
    </row>
    <row r="1812" spans="1:6" x14ac:dyDescent="0.3">
      <c r="A1812">
        <v>2021</v>
      </c>
      <c r="B1812" t="s">
        <v>62</v>
      </c>
      <c r="C1812" t="s">
        <v>36</v>
      </c>
      <c r="D1812" s="1">
        <v>4485</v>
      </c>
      <c r="E1812" s="1">
        <v>99581</v>
      </c>
      <c r="F1812" s="2">
        <v>47941</v>
      </c>
    </row>
    <row r="1813" spans="1:6" x14ac:dyDescent="0.3">
      <c r="A1813">
        <v>2021</v>
      </c>
      <c r="B1813" t="s">
        <v>62</v>
      </c>
      <c r="C1813" t="s">
        <v>37</v>
      </c>
      <c r="D1813" s="1">
        <v>11574</v>
      </c>
      <c r="E1813" s="1">
        <v>226255</v>
      </c>
      <c r="F1813" s="2">
        <v>45624</v>
      </c>
    </row>
    <row r="1814" spans="1:6" x14ac:dyDescent="0.3">
      <c r="A1814">
        <v>2021</v>
      </c>
      <c r="B1814" t="s">
        <v>62</v>
      </c>
      <c r="C1814" t="s">
        <v>38</v>
      </c>
      <c r="D1814" s="1">
        <v>2732</v>
      </c>
      <c r="E1814" s="1">
        <v>66629</v>
      </c>
      <c r="F1814" s="2">
        <v>49512</v>
      </c>
    </row>
    <row r="1815" spans="1:6" x14ac:dyDescent="0.3">
      <c r="A1815">
        <v>2021</v>
      </c>
      <c r="B1815" t="s">
        <v>62</v>
      </c>
      <c r="C1815" t="s">
        <v>39</v>
      </c>
      <c r="D1815" s="1">
        <v>15761</v>
      </c>
      <c r="E1815" s="1">
        <v>416511</v>
      </c>
      <c r="F1815" s="2">
        <v>50938</v>
      </c>
    </row>
    <row r="1816" spans="1:6" x14ac:dyDescent="0.3">
      <c r="A1816">
        <v>2021</v>
      </c>
      <c r="B1816" t="s">
        <v>62</v>
      </c>
      <c r="C1816" t="s">
        <v>40</v>
      </c>
      <c r="D1816" s="1">
        <v>87635</v>
      </c>
      <c r="E1816" s="1">
        <v>1607487</v>
      </c>
      <c r="F1816" s="2">
        <v>47096</v>
      </c>
    </row>
    <row r="1817" spans="1:6" x14ac:dyDescent="0.3">
      <c r="A1817">
        <v>2021</v>
      </c>
      <c r="B1817" t="s">
        <v>62</v>
      </c>
      <c r="C1817" t="s">
        <v>41</v>
      </c>
      <c r="D1817" s="1">
        <v>11679</v>
      </c>
      <c r="E1817" s="1">
        <v>181402</v>
      </c>
      <c r="F1817" s="2">
        <v>42492</v>
      </c>
    </row>
    <row r="1818" spans="1:6" x14ac:dyDescent="0.3">
      <c r="A1818">
        <v>2021</v>
      </c>
      <c r="B1818" t="s">
        <v>62</v>
      </c>
      <c r="C1818" t="s">
        <v>42</v>
      </c>
      <c r="D1818" s="1">
        <v>2460</v>
      </c>
      <c r="E1818" s="1">
        <v>62109</v>
      </c>
      <c r="F1818" s="2">
        <v>45259</v>
      </c>
    </row>
    <row r="1819" spans="1:6" x14ac:dyDescent="0.3">
      <c r="A1819">
        <v>2021</v>
      </c>
      <c r="B1819" t="s">
        <v>62</v>
      </c>
      <c r="C1819" t="s">
        <v>43</v>
      </c>
      <c r="D1819" s="1">
        <v>42910</v>
      </c>
      <c r="E1819" s="1">
        <v>496944</v>
      </c>
      <c r="F1819" s="2">
        <v>48573</v>
      </c>
    </row>
    <row r="1820" spans="1:6" x14ac:dyDescent="0.3">
      <c r="A1820">
        <v>2021</v>
      </c>
      <c r="B1820" t="s">
        <v>62</v>
      </c>
      <c r="C1820" t="s">
        <v>44</v>
      </c>
      <c r="D1820" s="1">
        <v>56689</v>
      </c>
      <c r="E1820" s="1">
        <v>451563</v>
      </c>
      <c r="F1820" s="2">
        <v>49782</v>
      </c>
    </row>
    <row r="1821" spans="1:6" x14ac:dyDescent="0.3">
      <c r="A1821">
        <v>2021</v>
      </c>
      <c r="B1821" t="s">
        <v>62</v>
      </c>
      <c r="C1821" t="s">
        <v>45</v>
      </c>
      <c r="D1821" s="1">
        <v>5679</v>
      </c>
      <c r="E1821" s="1">
        <v>123772</v>
      </c>
      <c r="F1821" s="2">
        <v>44732</v>
      </c>
    </row>
    <row r="1822" spans="1:6" x14ac:dyDescent="0.3">
      <c r="A1822">
        <v>2021</v>
      </c>
      <c r="B1822" t="s">
        <v>62</v>
      </c>
      <c r="C1822" t="s">
        <v>46</v>
      </c>
      <c r="D1822" s="1">
        <v>25989</v>
      </c>
      <c r="E1822" s="1">
        <v>428367</v>
      </c>
      <c r="F1822" s="2">
        <v>47663</v>
      </c>
    </row>
    <row r="1823" spans="1:6" x14ac:dyDescent="0.3">
      <c r="A1823">
        <v>2021</v>
      </c>
      <c r="B1823" t="s">
        <v>62</v>
      </c>
      <c r="C1823" t="s">
        <v>47</v>
      </c>
      <c r="D1823" s="1">
        <v>3268</v>
      </c>
      <c r="E1823" s="1">
        <v>26479</v>
      </c>
      <c r="F1823" s="2">
        <v>41913</v>
      </c>
    </row>
    <row r="1824" spans="1:6" x14ac:dyDescent="0.3">
      <c r="A1824">
        <v>2021</v>
      </c>
      <c r="B1824" t="s">
        <v>54</v>
      </c>
      <c r="C1824" t="s">
        <v>0</v>
      </c>
      <c r="D1824" s="1">
        <v>10741</v>
      </c>
      <c r="E1824" s="1">
        <v>202336</v>
      </c>
      <c r="F1824" s="2">
        <v>16222</v>
      </c>
    </row>
    <row r="1825" spans="1:6" x14ac:dyDescent="0.3">
      <c r="A1825">
        <v>2021</v>
      </c>
      <c r="B1825" t="s">
        <v>54</v>
      </c>
      <c r="C1825" t="s">
        <v>1</v>
      </c>
      <c r="D1825" s="1">
        <v>12771</v>
      </c>
      <c r="E1825" s="1">
        <v>317076</v>
      </c>
      <c r="F1825" s="2">
        <v>23505</v>
      </c>
    </row>
    <row r="1826" spans="1:6" x14ac:dyDescent="0.3">
      <c r="A1826">
        <v>2021</v>
      </c>
      <c r="B1826" t="s">
        <v>54</v>
      </c>
      <c r="C1826" t="s">
        <v>2</v>
      </c>
      <c r="D1826" s="1">
        <v>7024</v>
      </c>
      <c r="E1826" s="1">
        <v>116690</v>
      </c>
      <c r="F1826" s="2">
        <v>16181</v>
      </c>
    </row>
    <row r="1827" spans="1:6" x14ac:dyDescent="0.3">
      <c r="A1827">
        <v>2021</v>
      </c>
      <c r="B1827" t="s">
        <v>54</v>
      </c>
      <c r="C1827" t="s">
        <v>3</v>
      </c>
      <c r="D1827" s="1">
        <v>103495</v>
      </c>
      <c r="E1827" s="1">
        <v>1935980</v>
      </c>
      <c r="F1827" s="2">
        <v>29214</v>
      </c>
    </row>
    <row r="1828" spans="1:6" x14ac:dyDescent="0.3">
      <c r="A1828">
        <v>2021</v>
      </c>
      <c r="B1828" t="s">
        <v>54</v>
      </c>
      <c r="C1828" t="s">
        <v>4</v>
      </c>
      <c r="D1828" s="1">
        <v>16627</v>
      </c>
      <c r="E1828" s="1">
        <v>333190</v>
      </c>
      <c r="F1828" s="2">
        <v>24462</v>
      </c>
    </row>
    <row r="1829" spans="1:6" x14ac:dyDescent="0.3">
      <c r="A1829">
        <v>2021</v>
      </c>
      <c r="B1829" t="s">
        <v>54</v>
      </c>
      <c r="C1829" t="s">
        <v>5</v>
      </c>
      <c r="D1829" s="1">
        <v>10338</v>
      </c>
      <c r="E1829" s="1">
        <v>156514</v>
      </c>
      <c r="F1829" s="2">
        <v>23066</v>
      </c>
    </row>
    <row r="1830" spans="1:6" x14ac:dyDescent="0.3">
      <c r="A1830">
        <v>2021</v>
      </c>
      <c r="B1830" t="s">
        <v>54</v>
      </c>
      <c r="C1830" t="s">
        <v>6</v>
      </c>
      <c r="D1830" s="1">
        <v>2565</v>
      </c>
      <c r="E1830" s="1">
        <v>50272</v>
      </c>
      <c r="F1830" s="2">
        <v>19997</v>
      </c>
    </row>
    <row r="1831" spans="1:6" x14ac:dyDescent="0.3">
      <c r="A1831">
        <v>2021</v>
      </c>
      <c r="B1831" t="s">
        <v>54</v>
      </c>
      <c r="C1831" t="s">
        <v>7</v>
      </c>
      <c r="D1831" s="1">
        <v>55396</v>
      </c>
      <c r="E1831" s="1">
        <v>1198478</v>
      </c>
      <c r="F1831" s="2">
        <v>24953</v>
      </c>
    </row>
    <row r="1832" spans="1:6" x14ac:dyDescent="0.3">
      <c r="A1832">
        <v>2021</v>
      </c>
      <c r="B1832" t="s">
        <v>54</v>
      </c>
      <c r="C1832" t="s">
        <v>8</v>
      </c>
      <c r="D1832" s="1">
        <v>23538</v>
      </c>
      <c r="E1832" s="1">
        <v>476035</v>
      </c>
      <c r="F1832" s="2">
        <v>20142</v>
      </c>
    </row>
    <row r="1833" spans="1:6" x14ac:dyDescent="0.3">
      <c r="A1833">
        <v>2021</v>
      </c>
      <c r="B1833" t="s">
        <v>54</v>
      </c>
      <c r="C1833" t="s">
        <v>9</v>
      </c>
      <c r="D1833" s="1">
        <v>4906</v>
      </c>
      <c r="E1833" s="1">
        <v>74928</v>
      </c>
      <c r="F1833" s="2">
        <v>16382</v>
      </c>
    </row>
    <row r="1834" spans="1:6" x14ac:dyDescent="0.3">
      <c r="A1834">
        <v>2021</v>
      </c>
      <c r="B1834" t="s">
        <v>54</v>
      </c>
      <c r="C1834" t="s">
        <v>10</v>
      </c>
      <c r="D1834" s="1">
        <v>32076</v>
      </c>
      <c r="E1834" s="1">
        <v>610100</v>
      </c>
      <c r="F1834" s="2">
        <v>22930</v>
      </c>
    </row>
    <row r="1835" spans="1:6" x14ac:dyDescent="0.3">
      <c r="A1835">
        <v>2021</v>
      </c>
      <c r="B1835" t="s">
        <v>54</v>
      </c>
      <c r="C1835" t="s">
        <v>11</v>
      </c>
      <c r="D1835" s="1">
        <v>15273</v>
      </c>
      <c r="E1835" s="1">
        <v>308506</v>
      </c>
      <c r="F1835" s="2">
        <v>18223</v>
      </c>
    </row>
    <row r="1836" spans="1:6" x14ac:dyDescent="0.3">
      <c r="A1836">
        <v>2021</v>
      </c>
      <c r="B1836" t="s">
        <v>54</v>
      </c>
      <c r="C1836" t="s">
        <v>12</v>
      </c>
      <c r="D1836" s="1">
        <v>8532</v>
      </c>
      <c r="E1836" s="1">
        <v>143101</v>
      </c>
      <c r="F1836" s="2">
        <v>16280</v>
      </c>
    </row>
    <row r="1837" spans="1:6" x14ac:dyDescent="0.3">
      <c r="A1837">
        <v>2021</v>
      </c>
      <c r="B1837" t="s">
        <v>54</v>
      </c>
      <c r="C1837" t="s">
        <v>13</v>
      </c>
      <c r="D1837" s="1">
        <v>6839</v>
      </c>
      <c r="E1837" s="1">
        <v>128449</v>
      </c>
      <c r="F1837" s="2">
        <v>16257</v>
      </c>
    </row>
    <row r="1838" spans="1:6" x14ac:dyDescent="0.3">
      <c r="A1838">
        <v>2021</v>
      </c>
      <c r="B1838" t="s">
        <v>54</v>
      </c>
      <c r="C1838" t="s">
        <v>14</v>
      </c>
      <c r="D1838" s="1">
        <v>10063</v>
      </c>
      <c r="E1838" s="1">
        <v>196846</v>
      </c>
      <c r="F1838" s="2">
        <v>17160</v>
      </c>
    </row>
    <row r="1839" spans="1:6" x14ac:dyDescent="0.3">
      <c r="A1839">
        <v>2021</v>
      </c>
      <c r="B1839" t="s">
        <v>54</v>
      </c>
      <c r="C1839" t="s">
        <v>15</v>
      </c>
      <c r="D1839" s="1">
        <v>12015</v>
      </c>
      <c r="E1839" s="1">
        <v>233109</v>
      </c>
      <c r="F1839" s="2">
        <v>20623</v>
      </c>
    </row>
    <row r="1840" spans="1:6" x14ac:dyDescent="0.3">
      <c r="A1840">
        <v>2021</v>
      </c>
      <c r="B1840" t="s">
        <v>54</v>
      </c>
      <c r="C1840" t="s">
        <v>16</v>
      </c>
      <c r="D1840" s="1">
        <v>5119</v>
      </c>
      <c r="E1840" s="1">
        <v>67354</v>
      </c>
      <c r="F1840" s="2">
        <v>21119</v>
      </c>
    </row>
    <row r="1841" spans="1:6" x14ac:dyDescent="0.3">
      <c r="A1841">
        <v>2021</v>
      </c>
      <c r="B1841" t="s">
        <v>54</v>
      </c>
      <c r="C1841" t="s">
        <v>17</v>
      </c>
      <c r="D1841" s="1">
        <v>14733</v>
      </c>
      <c r="E1841" s="1">
        <v>280195</v>
      </c>
      <c r="F1841" s="2">
        <v>23436</v>
      </c>
    </row>
    <row r="1842" spans="1:6" x14ac:dyDescent="0.3">
      <c r="A1842">
        <v>2021</v>
      </c>
      <c r="B1842" t="s">
        <v>54</v>
      </c>
      <c r="C1842" t="s">
        <v>18</v>
      </c>
      <c r="D1842" s="1">
        <v>20695</v>
      </c>
      <c r="E1842" s="1">
        <v>369350</v>
      </c>
      <c r="F1842" s="2">
        <v>26779</v>
      </c>
    </row>
    <row r="1843" spans="1:6" x14ac:dyDescent="0.3">
      <c r="A1843">
        <v>2021</v>
      </c>
      <c r="B1843" t="s">
        <v>54</v>
      </c>
      <c r="C1843" t="s">
        <v>19</v>
      </c>
      <c r="D1843" s="1">
        <v>21783</v>
      </c>
      <c r="E1843" s="1">
        <v>431316</v>
      </c>
      <c r="F1843" s="2">
        <v>19834</v>
      </c>
    </row>
    <row r="1844" spans="1:6" x14ac:dyDescent="0.3">
      <c r="A1844">
        <v>2021</v>
      </c>
      <c r="B1844" t="s">
        <v>54</v>
      </c>
      <c r="C1844" t="s">
        <v>20</v>
      </c>
      <c r="D1844" s="1">
        <v>14729</v>
      </c>
      <c r="E1844" s="1">
        <v>270490</v>
      </c>
      <c r="F1844" s="2">
        <v>21386</v>
      </c>
    </row>
    <row r="1845" spans="1:6" x14ac:dyDescent="0.3">
      <c r="A1845">
        <v>2021</v>
      </c>
      <c r="B1845" t="s">
        <v>54</v>
      </c>
      <c r="C1845" t="s">
        <v>21</v>
      </c>
      <c r="D1845" s="1">
        <v>6381</v>
      </c>
      <c r="E1845" s="1">
        <v>134613</v>
      </c>
      <c r="F1845" s="2">
        <v>17011</v>
      </c>
    </row>
    <row r="1846" spans="1:6" x14ac:dyDescent="0.3">
      <c r="A1846">
        <v>2021</v>
      </c>
      <c r="B1846" t="s">
        <v>54</v>
      </c>
      <c r="C1846" t="s">
        <v>22</v>
      </c>
      <c r="D1846" s="1">
        <v>14797</v>
      </c>
      <c r="E1846" s="1">
        <v>303022</v>
      </c>
      <c r="F1846" s="2">
        <v>20276</v>
      </c>
    </row>
    <row r="1847" spans="1:6" x14ac:dyDescent="0.3">
      <c r="A1847">
        <v>2021</v>
      </c>
      <c r="B1847" t="s">
        <v>54</v>
      </c>
      <c r="C1847" t="s">
        <v>23</v>
      </c>
      <c r="D1847" s="1">
        <v>4978</v>
      </c>
      <c r="E1847" s="1">
        <v>64958</v>
      </c>
      <c r="F1847" s="2">
        <v>18625</v>
      </c>
    </row>
    <row r="1848" spans="1:6" x14ac:dyDescent="0.3">
      <c r="A1848">
        <v>2021</v>
      </c>
      <c r="B1848" t="s">
        <v>54</v>
      </c>
      <c r="C1848" t="s">
        <v>24</v>
      </c>
      <c r="D1848" s="1">
        <v>5508</v>
      </c>
      <c r="E1848" s="1">
        <v>91776</v>
      </c>
      <c r="F1848" s="2">
        <v>16253</v>
      </c>
    </row>
    <row r="1849" spans="1:6" x14ac:dyDescent="0.3">
      <c r="A1849">
        <v>2021</v>
      </c>
      <c r="B1849" t="s">
        <v>54</v>
      </c>
      <c r="C1849" t="s">
        <v>25</v>
      </c>
      <c r="D1849" s="1">
        <v>8246</v>
      </c>
      <c r="E1849" s="1">
        <v>348888</v>
      </c>
      <c r="F1849" s="2">
        <v>33048</v>
      </c>
    </row>
    <row r="1850" spans="1:6" x14ac:dyDescent="0.3">
      <c r="A1850">
        <v>2021</v>
      </c>
      <c r="B1850" t="s">
        <v>54</v>
      </c>
      <c r="C1850" t="s">
        <v>26</v>
      </c>
      <c r="D1850" s="1">
        <v>4512</v>
      </c>
      <c r="E1850" s="1">
        <v>70729</v>
      </c>
      <c r="F1850" s="2">
        <v>21058</v>
      </c>
    </row>
    <row r="1851" spans="1:6" x14ac:dyDescent="0.3">
      <c r="A1851">
        <v>2021</v>
      </c>
      <c r="B1851" t="s">
        <v>54</v>
      </c>
      <c r="C1851" t="s">
        <v>27</v>
      </c>
      <c r="D1851" s="1">
        <v>23501</v>
      </c>
      <c r="E1851" s="1">
        <v>372798</v>
      </c>
      <c r="F1851" s="2">
        <v>24851</v>
      </c>
    </row>
    <row r="1852" spans="1:6" x14ac:dyDescent="0.3">
      <c r="A1852">
        <v>2021</v>
      </c>
      <c r="B1852" t="s">
        <v>54</v>
      </c>
      <c r="C1852" t="s">
        <v>28</v>
      </c>
      <c r="D1852" s="1">
        <v>4929</v>
      </c>
      <c r="E1852" s="1">
        <v>96321</v>
      </c>
      <c r="F1852" s="2">
        <v>17901</v>
      </c>
    </row>
    <row r="1853" spans="1:6" x14ac:dyDescent="0.3">
      <c r="A1853">
        <v>2021</v>
      </c>
      <c r="B1853" t="s">
        <v>54</v>
      </c>
      <c r="C1853" t="s">
        <v>29</v>
      </c>
      <c r="D1853" s="1">
        <v>66166</v>
      </c>
      <c r="E1853" s="1">
        <v>944545</v>
      </c>
      <c r="F1853" s="2">
        <v>32365</v>
      </c>
    </row>
    <row r="1854" spans="1:6" x14ac:dyDescent="0.3">
      <c r="A1854">
        <v>2021</v>
      </c>
      <c r="B1854" t="s">
        <v>54</v>
      </c>
      <c r="C1854" t="s">
        <v>30</v>
      </c>
      <c r="D1854" s="1">
        <v>25235</v>
      </c>
      <c r="E1854" s="1">
        <v>493758</v>
      </c>
      <c r="F1854" s="2">
        <v>19111</v>
      </c>
    </row>
    <row r="1855" spans="1:6" x14ac:dyDescent="0.3">
      <c r="A1855">
        <v>2021</v>
      </c>
      <c r="B1855" t="s">
        <v>54</v>
      </c>
      <c r="C1855" t="s">
        <v>31</v>
      </c>
      <c r="D1855" s="1">
        <v>2600</v>
      </c>
      <c r="E1855" s="1">
        <v>39316</v>
      </c>
      <c r="F1855" s="2">
        <v>17400</v>
      </c>
    </row>
    <row r="1856" spans="1:6" x14ac:dyDescent="0.3">
      <c r="A1856">
        <v>2021</v>
      </c>
      <c r="B1856" t="s">
        <v>54</v>
      </c>
      <c r="C1856" t="s">
        <v>32</v>
      </c>
      <c r="D1856" s="1">
        <v>28218</v>
      </c>
      <c r="E1856" s="1">
        <v>560257</v>
      </c>
      <c r="F1856" s="2">
        <v>18856</v>
      </c>
    </row>
    <row r="1857" spans="1:6" x14ac:dyDescent="0.3">
      <c r="A1857">
        <v>2021</v>
      </c>
      <c r="B1857" t="s">
        <v>54</v>
      </c>
      <c r="C1857" t="s">
        <v>33</v>
      </c>
      <c r="D1857" s="1">
        <v>8969</v>
      </c>
      <c r="E1857" s="1">
        <v>167540</v>
      </c>
      <c r="F1857" s="2">
        <v>17729</v>
      </c>
    </row>
    <row r="1858" spans="1:6" x14ac:dyDescent="0.3">
      <c r="A1858">
        <v>2021</v>
      </c>
      <c r="B1858" t="s">
        <v>54</v>
      </c>
      <c r="C1858" t="s">
        <v>34</v>
      </c>
      <c r="D1858" s="1">
        <v>13588</v>
      </c>
      <c r="E1858" s="1">
        <v>205823</v>
      </c>
      <c r="F1858" s="2">
        <v>21379</v>
      </c>
    </row>
    <row r="1859" spans="1:6" x14ac:dyDescent="0.3">
      <c r="A1859">
        <v>2021</v>
      </c>
      <c r="B1859" t="s">
        <v>54</v>
      </c>
      <c r="C1859" t="s">
        <v>35</v>
      </c>
      <c r="D1859" s="1">
        <v>33146</v>
      </c>
      <c r="E1859" s="1">
        <v>566779</v>
      </c>
      <c r="F1859" s="2">
        <v>20389</v>
      </c>
    </row>
    <row r="1860" spans="1:6" x14ac:dyDescent="0.3">
      <c r="A1860">
        <v>2021</v>
      </c>
      <c r="B1860" t="s">
        <v>54</v>
      </c>
      <c r="C1860" t="s">
        <v>36</v>
      </c>
      <c r="D1860" s="1">
        <v>3683</v>
      </c>
      <c r="E1860" s="1">
        <v>58183</v>
      </c>
      <c r="F1860" s="2">
        <v>22353</v>
      </c>
    </row>
    <row r="1861" spans="1:6" x14ac:dyDescent="0.3">
      <c r="A1861">
        <v>2021</v>
      </c>
      <c r="B1861" t="s">
        <v>54</v>
      </c>
      <c r="C1861" t="s">
        <v>37</v>
      </c>
      <c r="D1861" s="1">
        <v>12337</v>
      </c>
      <c r="E1861" s="1">
        <v>254069</v>
      </c>
      <c r="F1861" s="2">
        <v>17885</v>
      </c>
    </row>
    <row r="1862" spans="1:6" x14ac:dyDescent="0.3">
      <c r="A1862">
        <v>2021</v>
      </c>
      <c r="B1862" t="s">
        <v>54</v>
      </c>
      <c r="C1862" t="s">
        <v>38</v>
      </c>
      <c r="D1862" s="1">
        <v>3109</v>
      </c>
      <c r="E1862" s="1">
        <v>46967</v>
      </c>
      <c r="F1862" s="2">
        <v>16460</v>
      </c>
    </row>
    <row r="1863" spans="1:6" x14ac:dyDescent="0.3">
      <c r="A1863">
        <v>2021</v>
      </c>
      <c r="B1863" t="s">
        <v>54</v>
      </c>
      <c r="C1863" t="s">
        <v>39</v>
      </c>
      <c r="D1863" s="1">
        <v>15932</v>
      </c>
      <c r="E1863" s="1">
        <v>328856</v>
      </c>
      <c r="F1863" s="2">
        <v>22398</v>
      </c>
    </row>
    <row r="1864" spans="1:6" x14ac:dyDescent="0.3">
      <c r="A1864">
        <v>2021</v>
      </c>
      <c r="B1864" t="s">
        <v>54</v>
      </c>
      <c r="C1864" t="s">
        <v>40</v>
      </c>
      <c r="D1864" s="1">
        <v>60744</v>
      </c>
      <c r="E1864" s="1">
        <v>1317762</v>
      </c>
      <c r="F1864" s="2">
        <v>21234</v>
      </c>
    </row>
    <row r="1865" spans="1:6" x14ac:dyDescent="0.3">
      <c r="A1865">
        <v>2021</v>
      </c>
      <c r="B1865" t="s">
        <v>54</v>
      </c>
      <c r="C1865" t="s">
        <v>41</v>
      </c>
      <c r="D1865" s="1">
        <v>7068</v>
      </c>
      <c r="E1865" s="1">
        <v>142985</v>
      </c>
      <c r="F1865" s="2">
        <v>19510</v>
      </c>
    </row>
    <row r="1866" spans="1:6" x14ac:dyDescent="0.3">
      <c r="A1866">
        <v>2021</v>
      </c>
      <c r="B1866" t="s">
        <v>54</v>
      </c>
      <c r="C1866" t="s">
        <v>42</v>
      </c>
      <c r="D1866" s="1">
        <v>2266</v>
      </c>
      <c r="E1866" s="1">
        <v>37337</v>
      </c>
      <c r="F1866" s="2">
        <v>22375</v>
      </c>
    </row>
    <row r="1867" spans="1:6" x14ac:dyDescent="0.3">
      <c r="A1867">
        <v>2021</v>
      </c>
      <c r="B1867" t="s">
        <v>54</v>
      </c>
      <c r="C1867" t="s">
        <v>43</v>
      </c>
      <c r="D1867" s="1">
        <v>20269</v>
      </c>
      <c r="E1867" s="1">
        <v>402475</v>
      </c>
      <c r="F1867" s="2">
        <v>20078</v>
      </c>
    </row>
    <row r="1868" spans="1:6" x14ac:dyDescent="0.3">
      <c r="A1868">
        <v>2021</v>
      </c>
      <c r="B1868" t="s">
        <v>54</v>
      </c>
      <c r="C1868" t="s">
        <v>44</v>
      </c>
      <c r="D1868" s="1">
        <v>20065</v>
      </c>
      <c r="E1868" s="1">
        <v>325141</v>
      </c>
      <c r="F1868" s="2">
        <v>24250</v>
      </c>
    </row>
    <row r="1869" spans="1:6" x14ac:dyDescent="0.3">
      <c r="A1869">
        <v>2021</v>
      </c>
      <c r="B1869" t="s">
        <v>54</v>
      </c>
      <c r="C1869" t="s">
        <v>45</v>
      </c>
      <c r="D1869" s="1">
        <v>4646</v>
      </c>
      <c r="E1869" s="1">
        <v>74275</v>
      </c>
      <c r="F1869" s="2">
        <v>17335</v>
      </c>
    </row>
    <row r="1870" spans="1:6" x14ac:dyDescent="0.3">
      <c r="A1870">
        <v>2021</v>
      </c>
      <c r="B1870" t="s">
        <v>54</v>
      </c>
      <c r="C1870" t="s">
        <v>46</v>
      </c>
      <c r="D1870" s="1">
        <v>16599</v>
      </c>
      <c r="E1870" s="1">
        <v>279749</v>
      </c>
      <c r="F1870" s="2">
        <v>17248</v>
      </c>
    </row>
    <row r="1871" spans="1:6" x14ac:dyDescent="0.3">
      <c r="A1871">
        <v>2021</v>
      </c>
      <c r="B1871" t="s">
        <v>54</v>
      </c>
      <c r="C1871" t="s">
        <v>47</v>
      </c>
      <c r="D1871" s="1">
        <v>2355</v>
      </c>
      <c r="E1871" s="1">
        <v>36297</v>
      </c>
      <c r="F1871" s="2">
        <v>19867</v>
      </c>
    </row>
    <row r="1872" spans="1:6" x14ac:dyDescent="0.3">
      <c r="A1872">
        <v>2021</v>
      </c>
      <c r="B1872" t="s">
        <v>63</v>
      </c>
      <c r="C1872" t="s">
        <v>0</v>
      </c>
      <c r="D1872" s="1">
        <v>9603</v>
      </c>
      <c r="E1872" s="1">
        <v>45296</v>
      </c>
      <c r="F1872" s="2">
        <v>36539</v>
      </c>
    </row>
    <row r="1873" spans="1:6" x14ac:dyDescent="0.3">
      <c r="A1873">
        <v>2021</v>
      </c>
      <c r="B1873" t="s">
        <v>63</v>
      </c>
      <c r="C1873" t="s">
        <v>1</v>
      </c>
      <c r="D1873" s="1">
        <v>10297</v>
      </c>
      <c r="E1873" s="1">
        <v>71320</v>
      </c>
      <c r="F1873" s="2">
        <v>37061</v>
      </c>
    </row>
    <row r="1874" spans="1:6" x14ac:dyDescent="0.3">
      <c r="A1874">
        <v>2021</v>
      </c>
      <c r="B1874" t="s">
        <v>63</v>
      </c>
      <c r="C1874" t="s">
        <v>2</v>
      </c>
      <c r="D1874" s="1">
        <v>5315</v>
      </c>
      <c r="E1874" s="1">
        <v>24804</v>
      </c>
      <c r="F1874" s="2">
        <v>33179</v>
      </c>
    </row>
    <row r="1875" spans="1:6" x14ac:dyDescent="0.3">
      <c r="A1875">
        <v>2021</v>
      </c>
      <c r="B1875" t="s">
        <v>63</v>
      </c>
      <c r="C1875" t="s">
        <v>3</v>
      </c>
      <c r="D1875" s="1">
        <v>88470</v>
      </c>
      <c r="E1875" s="1">
        <v>527915</v>
      </c>
      <c r="F1875" s="2">
        <v>40412</v>
      </c>
    </row>
    <row r="1876" spans="1:6" x14ac:dyDescent="0.3">
      <c r="A1876">
        <v>2021</v>
      </c>
      <c r="B1876" t="s">
        <v>63</v>
      </c>
      <c r="C1876" t="s">
        <v>4</v>
      </c>
      <c r="D1876" s="1">
        <v>15777</v>
      </c>
      <c r="E1876" s="1">
        <v>80034</v>
      </c>
      <c r="F1876" s="2">
        <v>39558</v>
      </c>
    </row>
    <row r="1877" spans="1:6" x14ac:dyDescent="0.3">
      <c r="A1877">
        <v>2021</v>
      </c>
      <c r="B1877" t="s">
        <v>63</v>
      </c>
      <c r="C1877" t="s">
        <v>5</v>
      </c>
      <c r="D1877" s="1">
        <v>16529</v>
      </c>
      <c r="E1877" s="1">
        <v>64279</v>
      </c>
      <c r="F1877" s="2">
        <v>33397</v>
      </c>
    </row>
    <row r="1878" spans="1:6" x14ac:dyDescent="0.3">
      <c r="A1878">
        <v>2021</v>
      </c>
      <c r="B1878" t="s">
        <v>63</v>
      </c>
      <c r="C1878" t="s">
        <v>6</v>
      </c>
      <c r="D1878" s="1">
        <v>2003</v>
      </c>
      <c r="E1878" s="1">
        <v>11881</v>
      </c>
      <c r="F1878" s="2">
        <v>33610</v>
      </c>
    </row>
    <row r="1879" spans="1:6" x14ac:dyDescent="0.3">
      <c r="A1879">
        <v>2021</v>
      </c>
      <c r="B1879" t="s">
        <v>63</v>
      </c>
      <c r="C1879" t="s">
        <v>7</v>
      </c>
      <c r="D1879" s="1">
        <v>54928</v>
      </c>
      <c r="E1879" s="1">
        <v>273903</v>
      </c>
      <c r="F1879" s="2">
        <v>35319</v>
      </c>
    </row>
    <row r="1880" spans="1:6" x14ac:dyDescent="0.3">
      <c r="A1880">
        <v>2021</v>
      </c>
      <c r="B1880" t="s">
        <v>63</v>
      </c>
      <c r="C1880" t="s">
        <v>8</v>
      </c>
      <c r="D1880" s="1">
        <v>18097</v>
      </c>
      <c r="E1880" s="1">
        <v>106445</v>
      </c>
      <c r="F1880" s="2">
        <v>35520</v>
      </c>
    </row>
    <row r="1881" spans="1:6" x14ac:dyDescent="0.3">
      <c r="A1881">
        <v>2021</v>
      </c>
      <c r="B1881" t="s">
        <v>63</v>
      </c>
      <c r="C1881" t="s">
        <v>9</v>
      </c>
      <c r="D1881" s="1">
        <v>3888</v>
      </c>
      <c r="E1881" s="1">
        <v>17915</v>
      </c>
      <c r="F1881" s="2">
        <v>30056</v>
      </c>
    </row>
    <row r="1882" spans="1:6" x14ac:dyDescent="0.3">
      <c r="A1882">
        <v>2021</v>
      </c>
      <c r="B1882" t="s">
        <v>63</v>
      </c>
      <c r="C1882" t="s">
        <v>10</v>
      </c>
      <c r="D1882" s="1">
        <v>39500</v>
      </c>
      <c r="E1882" s="1">
        <v>206494</v>
      </c>
      <c r="F1882" s="2">
        <v>41240</v>
      </c>
    </row>
    <row r="1883" spans="1:6" x14ac:dyDescent="0.3">
      <c r="A1883">
        <v>2021</v>
      </c>
      <c r="B1883" t="s">
        <v>63</v>
      </c>
      <c r="C1883" t="s">
        <v>11</v>
      </c>
      <c r="D1883" s="1">
        <v>13113</v>
      </c>
      <c r="E1883" s="1">
        <v>86944</v>
      </c>
      <c r="F1883" s="2">
        <v>31882</v>
      </c>
    </row>
    <row r="1884" spans="1:6" x14ac:dyDescent="0.3">
      <c r="A1884">
        <v>2021</v>
      </c>
      <c r="B1884" t="s">
        <v>63</v>
      </c>
      <c r="C1884" t="s">
        <v>12</v>
      </c>
      <c r="D1884" s="1">
        <v>8710</v>
      </c>
      <c r="E1884" s="1">
        <v>42498</v>
      </c>
      <c r="F1884" s="2">
        <v>33069</v>
      </c>
    </row>
    <row r="1885" spans="1:6" x14ac:dyDescent="0.3">
      <c r="A1885">
        <v>2021</v>
      </c>
      <c r="B1885" t="s">
        <v>63</v>
      </c>
      <c r="C1885" t="s">
        <v>13</v>
      </c>
      <c r="D1885" s="1">
        <v>6031</v>
      </c>
      <c r="E1885" s="1">
        <v>33578</v>
      </c>
      <c r="F1885" s="2">
        <v>33575</v>
      </c>
    </row>
    <row r="1886" spans="1:6" x14ac:dyDescent="0.3">
      <c r="A1886">
        <v>2021</v>
      </c>
      <c r="B1886" t="s">
        <v>63</v>
      </c>
      <c r="C1886" t="s">
        <v>14</v>
      </c>
      <c r="D1886" s="1">
        <v>10912</v>
      </c>
      <c r="E1886" s="1">
        <v>46382</v>
      </c>
      <c r="F1886" s="2">
        <v>32330</v>
      </c>
    </row>
    <row r="1887" spans="1:6" x14ac:dyDescent="0.3">
      <c r="A1887">
        <v>2021</v>
      </c>
      <c r="B1887" t="s">
        <v>63</v>
      </c>
      <c r="C1887" t="s">
        <v>15</v>
      </c>
      <c r="D1887" s="1">
        <v>9250</v>
      </c>
      <c r="E1887" s="1">
        <v>45963</v>
      </c>
      <c r="F1887" s="2">
        <v>36468</v>
      </c>
    </row>
    <row r="1888" spans="1:6" x14ac:dyDescent="0.3">
      <c r="A1888">
        <v>2021</v>
      </c>
      <c r="B1888" t="s">
        <v>63</v>
      </c>
      <c r="C1888" t="s">
        <v>16</v>
      </c>
      <c r="D1888" s="1">
        <v>4028</v>
      </c>
      <c r="E1888" s="1">
        <v>17774</v>
      </c>
      <c r="F1888" s="2">
        <v>32993</v>
      </c>
    </row>
    <row r="1889" spans="1:6" x14ac:dyDescent="0.3">
      <c r="A1889">
        <v>2021</v>
      </c>
      <c r="B1889" t="s">
        <v>63</v>
      </c>
      <c r="C1889" t="s">
        <v>17</v>
      </c>
      <c r="D1889" s="1">
        <v>19506</v>
      </c>
      <c r="E1889" s="1">
        <v>91492</v>
      </c>
      <c r="F1889" s="2">
        <v>41793</v>
      </c>
    </row>
    <row r="1890" spans="1:6" x14ac:dyDescent="0.3">
      <c r="A1890">
        <v>2021</v>
      </c>
      <c r="B1890" t="s">
        <v>63</v>
      </c>
      <c r="C1890" t="s">
        <v>18</v>
      </c>
      <c r="D1890" s="1">
        <v>21677</v>
      </c>
      <c r="E1890" s="1">
        <v>118160</v>
      </c>
      <c r="F1890" s="2">
        <v>37032</v>
      </c>
    </row>
    <row r="1891" spans="1:6" x14ac:dyDescent="0.3">
      <c r="A1891">
        <v>2021</v>
      </c>
      <c r="B1891" t="s">
        <v>63</v>
      </c>
      <c r="C1891" t="s">
        <v>19</v>
      </c>
      <c r="D1891" s="1">
        <v>29930</v>
      </c>
      <c r="E1891" s="1">
        <v>137568</v>
      </c>
      <c r="F1891" s="2">
        <v>32157</v>
      </c>
    </row>
    <row r="1892" spans="1:6" x14ac:dyDescent="0.3">
      <c r="A1892">
        <v>2021</v>
      </c>
      <c r="B1892" t="s">
        <v>63</v>
      </c>
      <c r="C1892" t="s">
        <v>20</v>
      </c>
      <c r="D1892" s="1">
        <v>16226</v>
      </c>
      <c r="E1892" s="1">
        <v>90138</v>
      </c>
      <c r="F1892" s="2">
        <v>33237</v>
      </c>
    </row>
    <row r="1893" spans="1:6" x14ac:dyDescent="0.3">
      <c r="A1893">
        <v>2021</v>
      </c>
      <c r="B1893" t="s">
        <v>63</v>
      </c>
      <c r="C1893" t="s">
        <v>21</v>
      </c>
      <c r="D1893" s="1">
        <v>4726</v>
      </c>
      <c r="E1893" s="1">
        <v>21154</v>
      </c>
      <c r="F1893" s="2">
        <v>33958</v>
      </c>
    </row>
    <row r="1894" spans="1:6" x14ac:dyDescent="0.3">
      <c r="A1894">
        <v>2021</v>
      </c>
      <c r="B1894" t="s">
        <v>63</v>
      </c>
      <c r="C1894" t="s">
        <v>22</v>
      </c>
      <c r="D1894" s="1">
        <v>13734</v>
      </c>
      <c r="E1894" s="1">
        <v>76037</v>
      </c>
      <c r="F1894" s="2">
        <v>32705</v>
      </c>
    </row>
    <row r="1895" spans="1:6" x14ac:dyDescent="0.3">
      <c r="A1895">
        <v>2021</v>
      </c>
      <c r="B1895" t="s">
        <v>63</v>
      </c>
      <c r="C1895" t="s">
        <v>23</v>
      </c>
      <c r="D1895" s="1">
        <v>4094</v>
      </c>
      <c r="E1895" s="1">
        <v>17909</v>
      </c>
      <c r="F1895" s="2">
        <v>29177</v>
      </c>
    </row>
    <row r="1896" spans="1:6" x14ac:dyDescent="0.3">
      <c r="A1896">
        <v>2021</v>
      </c>
      <c r="B1896" t="s">
        <v>63</v>
      </c>
      <c r="C1896" t="s">
        <v>24</v>
      </c>
      <c r="D1896" s="1">
        <v>4671</v>
      </c>
      <c r="E1896" s="1">
        <v>25082</v>
      </c>
      <c r="F1896" s="2">
        <v>31310</v>
      </c>
    </row>
    <row r="1897" spans="1:6" x14ac:dyDescent="0.3">
      <c r="A1897">
        <v>2021</v>
      </c>
      <c r="B1897" t="s">
        <v>63</v>
      </c>
      <c r="C1897" t="s">
        <v>25</v>
      </c>
      <c r="D1897" s="1">
        <v>4959</v>
      </c>
      <c r="E1897" s="1">
        <v>33667</v>
      </c>
      <c r="F1897" s="2">
        <v>36336</v>
      </c>
    </row>
    <row r="1898" spans="1:6" x14ac:dyDescent="0.3">
      <c r="A1898">
        <v>2021</v>
      </c>
      <c r="B1898" t="s">
        <v>63</v>
      </c>
      <c r="C1898" t="s">
        <v>26</v>
      </c>
      <c r="D1898" s="1">
        <v>3871</v>
      </c>
      <c r="E1898" s="1">
        <v>20493</v>
      </c>
      <c r="F1898" s="2">
        <v>36646</v>
      </c>
    </row>
    <row r="1899" spans="1:6" x14ac:dyDescent="0.3">
      <c r="A1899">
        <v>2021</v>
      </c>
      <c r="B1899" t="s">
        <v>63</v>
      </c>
      <c r="C1899" t="s">
        <v>27</v>
      </c>
      <c r="D1899" s="1">
        <v>25881</v>
      </c>
      <c r="E1899" s="1">
        <v>136480</v>
      </c>
      <c r="F1899" s="2">
        <v>35059</v>
      </c>
    </row>
    <row r="1900" spans="1:6" x14ac:dyDescent="0.3">
      <c r="A1900">
        <v>2021</v>
      </c>
      <c r="B1900" t="s">
        <v>63</v>
      </c>
      <c r="C1900" t="s">
        <v>28</v>
      </c>
      <c r="D1900" s="1">
        <v>3961</v>
      </c>
      <c r="E1900" s="1">
        <v>20593</v>
      </c>
      <c r="F1900" s="2">
        <v>32578</v>
      </c>
    </row>
    <row r="1901" spans="1:6" x14ac:dyDescent="0.3">
      <c r="A1901">
        <v>2021</v>
      </c>
      <c r="B1901" t="s">
        <v>63</v>
      </c>
      <c r="C1901" t="s">
        <v>29</v>
      </c>
      <c r="D1901" s="1">
        <v>74536</v>
      </c>
      <c r="E1901" s="1">
        <v>369805</v>
      </c>
      <c r="F1901" s="2">
        <v>40436</v>
      </c>
    </row>
    <row r="1902" spans="1:6" x14ac:dyDescent="0.3">
      <c r="A1902">
        <v>2021</v>
      </c>
      <c r="B1902" t="s">
        <v>63</v>
      </c>
      <c r="C1902" t="s">
        <v>30</v>
      </c>
      <c r="D1902" s="1">
        <v>23024</v>
      </c>
      <c r="E1902" s="1">
        <v>107404</v>
      </c>
      <c r="F1902" s="2">
        <v>33978</v>
      </c>
    </row>
    <row r="1903" spans="1:6" x14ac:dyDescent="0.3">
      <c r="A1903">
        <v>2021</v>
      </c>
      <c r="B1903" t="s">
        <v>63</v>
      </c>
      <c r="C1903" t="s">
        <v>31</v>
      </c>
      <c r="D1903" s="1">
        <v>2040</v>
      </c>
      <c r="E1903" s="1">
        <v>12231</v>
      </c>
      <c r="F1903" s="2">
        <v>34167</v>
      </c>
    </row>
    <row r="1904" spans="1:6" x14ac:dyDescent="0.3">
      <c r="A1904">
        <v>2021</v>
      </c>
      <c r="B1904" t="s">
        <v>63</v>
      </c>
      <c r="C1904" t="s">
        <v>32</v>
      </c>
      <c r="D1904" s="1">
        <v>23601</v>
      </c>
      <c r="E1904" s="1">
        <v>155257</v>
      </c>
      <c r="F1904" s="2">
        <v>33039</v>
      </c>
    </row>
    <row r="1905" spans="1:6" x14ac:dyDescent="0.3">
      <c r="A1905">
        <v>2021</v>
      </c>
      <c r="B1905" t="s">
        <v>63</v>
      </c>
      <c r="C1905" t="s">
        <v>33</v>
      </c>
      <c r="D1905" s="1">
        <v>6751</v>
      </c>
      <c r="E1905" s="1">
        <v>35772</v>
      </c>
      <c r="F1905" s="2">
        <v>34306</v>
      </c>
    </row>
    <row r="1906" spans="1:6" x14ac:dyDescent="0.3">
      <c r="A1906">
        <v>2021</v>
      </c>
      <c r="B1906" t="s">
        <v>63</v>
      </c>
      <c r="C1906" t="s">
        <v>34</v>
      </c>
      <c r="D1906" s="1">
        <v>22753</v>
      </c>
      <c r="E1906" s="1">
        <v>77028</v>
      </c>
      <c r="F1906" s="2">
        <v>31901</v>
      </c>
    </row>
    <row r="1907" spans="1:6" x14ac:dyDescent="0.3">
      <c r="A1907">
        <v>2021</v>
      </c>
      <c r="B1907" t="s">
        <v>63</v>
      </c>
      <c r="C1907" t="s">
        <v>35</v>
      </c>
      <c r="D1907" s="1">
        <v>32259</v>
      </c>
      <c r="E1907" s="1">
        <v>197527</v>
      </c>
      <c r="F1907" s="2">
        <v>32593</v>
      </c>
    </row>
    <row r="1908" spans="1:6" x14ac:dyDescent="0.3">
      <c r="A1908">
        <v>2021</v>
      </c>
      <c r="B1908" t="s">
        <v>63</v>
      </c>
      <c r="C1908" t="s">
        <v>36</v>
      </c>
      <c r="D1908" s="1">
        <v>3395</v>
      </c>
      <c r="E1908" s="1">
        <v>17959</v>
      </c>
      <c r="F1908" s="2">
        <v>32566</v>
      </c>
    </row>
    <row r="1909" spans="1:6" x14ac:dyDescent="0.3">
      <c r="A1909">
        <v>2021</v>
      </c>
      <c r="B1909" t="s">
        <v>63</v>
      </c>
      <c r="C1909" t="s">
        <v>37</v>
      </c>
      <c r="D1909" s="1">
        <v>11490</v>
      </c>
      <c r="E1909" s="1">
        <v>51779</v>
      </c>
      <c r="F1909" s="2">
        <v>32842</v>
      </c>
    </row>
    <row r="1910" spans="1:6" x14ac:dyDescent="0.3">
      <c r="A1910">
        <v>2021</v>
      </c>
      <c r="B1910" t="s">
        <v>63</v>
      </c>
      <c r="C1910" t="s">
        <v>38</v>
      </c>
      <c r="D1910" s="1">
        <v>2171</v>
      </c>
      <c r="E1910" s="1">
        <v>11078</v>
      </c>
      <c r="F1910" s="2">
        <v>31403</v>
      </c>
    </row>
    <row r="1911" spans="1:6" x14ac:dyDescent="0.3">
      <c r="A1911">
        <v>2021</v>
      </c>
      <c r="B1911" t="s">
        <v>63</v>
      </c>
      <c r="C1911" t="s">
        <v>39</v>
      </c>
      <c r="D1911" s="1">
        <v>14618</v>
      </c>
      <c r="E1911" s="1">
        <v>76045</v>
      </c>
      <c r="F1911" s="2">
        <v>34443</v>
      </c>
    </row>
    <row r="1912" spans="1:6" x14ac:dyDescent="0.3">
      <c r="A1912">
        <v>2021</v>
      </c>
      <c r="B1912" t="s">
        <v>63</v>
      </c>
      <c r="C1912" t="s">
        <v>40</v>
      </c>
      <c r="D1912" s="1">
        <v>56060</v>
      </c>
      <c r="E1912" s="1">
        <v>328026</v>
      </c>
      <c r="F1912" s="2">
        <v>37841</v>
      </c>
    </row>
    <row r="1913" spans="1:6" x14ac:dyDescent="0.3">
      <c r="A1913">
        <v>2021</v>
      </c>
      <c r="B1913" t="s">
        <v>63</v>
      </c>
      <c r="C1913" t="s">
        <v>41</v>
      </c>
      <c r="D1913" s="1">
        <v>6084</v>
      </c>
      <c r="E1913" s="1">
        <v>35143</v>
      </c>
      <c r="F1913" s="2">
        <v>34421</v>
      </c>
    </row>
    <row r="1914" spans="1:6" x14ac:dyDescent="0.3">
      <c r="A1914">
        <v>2021</v>
      </c>
      <c r="B1914" t="s">
        <v>63</v>
      </c>
      <c r="C1914" t="s">
        <v>42</v>
      </c>
      <c r="D1914" s="1">
        <v>1958</v>
      </c>
      <c r="E1914" s="1">
        <v>8658</v>
      </c>
      <c r="F1914" s="2">
        <v>34757</v>
      </c>
    </row>
    <row r="1915" spans="1:6" x14ac:dyDescent="0.3">
      <c r="A1915">
        <v>2021</v>
      </c>
      <c r="B1915" t="s">
        <v>63</v>
      </c>
      <c r="C1915" t="s">
        <v>43</v>
      </c>
      <c r="D1915" s="1">
        <v>32154</v>
      </c>
      <c r="E1915" s="1">
        <v>141985</v>
      </c>
      <c r="F1915" s="2">
        <v>42290</v>
      </c>
    </row>
    <row r="1916" spans="1:6" x14ac:dyDescent="0.3">
      <c r="A1916">
        <v>2021</v>
      </c>
      <c r="B1916" t="s">
        <v>63</v>
      </c>
      <c r="C1916" t="s">
        <v>44</v>
      </c>
      <c r="D1916" s="1">
        <v>19701</v>
      </c>
      <c r="E1916" s="1">
        <v>97492</v>
      </c>
      <c r="F1916" s="2">
        <v>38822</v>
      </c>
    </row>
    <row r="1917" spans="1:6" x14ac:dyDescent="0.3">
      <c r="A1917">
        <v>2021</v>
      </c>
      <c r="B1917" t="s">
        <v>63</v>
      </c>
      <c r="C1917" t="s">
        <v>45</v>
      </c>
      <c r="D1917" s="1">
        <v>5237</v>
      </c>
      <c r="E1917" s="1">
        <v>19979</v>
      </c>
      <c r="F1917" s="2">
        <v>29927</v>
      </c>
    </row>
    <row r="1918" spans="1:6" x14ac:dyDescent="0.3">
      <c r="A1918">
        <v>2021</v>
      </c>
      <c r="B1918" t="s">
        <v>63</v>
      </c>
      <c r="C1918" t="s">
        <v>46</v>
      </c>
      <c r="D1918" s="1">
        <v>14001</v>
      </c>
      <c r="E1918" s="1">
        <v>84153</v>
      </c>
      <c r="F1918" s="2">
        <v>29242</v>
      </c>
    </row>
    <row r="1919" spans="1:6" x14ac:dyDescent="0.3">
      <c r="A1919">
        <v>2021</v>
      </c>
      <c r="B1919" t="s">
        <v>63</v>
      </c>
      <c r="C1919" t="s">
        <v>47</v>
      </c>
      <c r="D1919" s="1">
        <v>1656</v>
      </c>
      <c r="E1919" s="1">
        <v>7231</v>
      </c>
      <c r="F1919" s="2">
        <v>35035</v>
      </c>
    </row>
  </sheetData>
  <autoFilter ref="A1:F1919" xr:uid="{F7E52F2C-F2D3-4F44-815D-AF8D50250408}"/>
  <customSheetViews>
    <customSheetView guid="{948164EF-B902-4A6C-8E3C-A935061C5153}" state="hidden">
      <selection activeCell="F150" sqref="F150"/>
      <pageMargins left="0.7" right="0.7" top="0.75" bottom="0.75" header="0.3" footer="0.3"/>
      <pageSetup orientation="portrait" r:id="rId1"/>
    </customSheetView>
    <customSheetView guid="{A1F01C08-243B-48FC-94A8-F102AEB1706D}">
      <selection activeCell="F150" sqref="F150"/>
      <pageMargins left="0.7" right="0.7" top="0.75" bottom="0.75" header="0.3" footer="0.3"/>
      <pageSetup orientation="portrait" r:id="rId2"/>
    </customSheetView>
  </customSheetView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CA6D6-DE32-8C44-8442-F567882FD774}">
  <sheetPr codeName="Sheet4"/>
  <dimension ref="A1"/>
  <sheetViews>
    <sheetView zoomScale="60" zoomScaleNormal="60" workbookViewId="0">
      <selection activeCell="V35" sqref="V35"/>
    </sheetView>
  </sheetViews>
  <sheetFormatPr baseColWidth="10" defaultRowHeight="14.4" x14ac:dyDescent="0.3"/>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1B6A0-906D-4049-B715-114CF403CDF0}">
  <dimension ref="A1:AB50"/>
  <sheetViews>
    <sheetView zoomScaleNormal="100" workbookViewId="0">
      <selection activeCell="C19" sqref="C19"/>
    </sheetView>
  </sheetViews>
  <sheetFormatPr baseColWidth="10" defaultRowHeight="14.4" x14ac:dyDescent="0.3"/>
  <cols>
    <col min="2" max="2" width="19.44140625" bestFit="1" customWidth="1"/>
    <col min="3" max="3" width="18.6640625" bestFit="1" customWidth="1"/>
    <col min="5" max="5" width="19.44140625" bestFit="1" customWidth="1"/>
    <col min="6" max="6" width="22.21875" bestFit="1" customWidth="1"/>
    <col min="7" max="7" width="19.77734375" customWidth="1"/>
    <col min="9" max="9" width="19.44140625" bestFit="1" customWidth="1"/>
    <col min="15" max="15" width="18.44140625" bestFit="1" customWidth="1"/>
    <col min="16" max="16" width="11.5546875" bestFit="1" customWidth="1"/>
    <col min="22" max="22" width="9.88671875" bestFit="1" customWidth="1"/>
    <col min="23" max="23" width="22.77734375" bestFit="1" customWidth="1"/>
    <col min="24" max="24" width="23.77734375" bestFit="1" customWidth="1"/>
    <col min="25" max="25" width="23.77734375" customWidth="1"/>
    <col min="27" max="27" width="17.6640625" customWidth="1"/>
  </cols>
  <sheetData>
    <row r="1" spans="1:28" ht="15.6" x14ac:dyDescent="0.3">
      <c r="A1" s="17" t="s">
        <v>64</v>
      </c>
      <c r="B1" s="17"/>
      <c r="C1" s="17"/>
      <c r="E1" s="17" t="s">
        <v>65</v>
      </c>
      <c r="F1" s="17"/>
      <c r="G1" s="17"/>
      <c r="I1" s="17" t="s">
        <v>66</v>
      </c>
      <c r="J1" s="17"/>
      <c r="K1" s="17"/>
      <c r="N1" s="17" t="s">
        <v>71</v>
      </c>
      <c r="O1" s="17"/>
      <c r="P1" s="17"/>
      <c r="T1" s="21" t="s">
        <v>85</v>
      </c>
      <c r="U1" s="21"/>
      <c r="V1" s="21"/>
      <c r="W1" s="21"/>
      <c r="X1" s="21"/>
      <c r="Y1" s="12"/>
      <c r="AA1" s="9" t="s">
        <v>50</v>
      </c>
      <c r="AB1" s="9" t="s">
        <v>82</v>
      </c>
    </row>
    <row r="2" spans="1:28" x14ac:dyDescent="0.3">
      <c r="A2" s="7" t="s">
        <v>86</v>
      </c>
      <c r="B2" s="7" t="s">
        <v>73</v>
      </c>
      <c r="C2" s="7" t="s">
        <v>74</v>
      </c>
      <c r="E2" s="8" t="s">
        <v>73</v>
      </c>
      <c r="F2" s="11" t="s">
        <v>80</v>
      </c>
      <c r="G2" s="11" t="s">
        <v>70</v>
      </c>
      <c r="I2" s="8" t="s">
        <v>73</v>
      </c>
      <c r="J2" s="20" t="s">
        <v>75</v>
      </c>
      <c r="K2" s="20"/>
      <c r="N2" s="8" t="s">
        <v>76</v>
      </c>
      <c r="O2" s="8" t="s">
        <v>77</v>
      </c>
      <c r="P2" s="11" t="s">
        <v>75</v>
      </c>
      <c r="T2" s="8" t="s">
        <v>50</v>
      </c>
      <c r="U2" s="8" t="s">
        <v>52</v>
      </c>
      <c r="V2" s="8" t="s">
        <v>82</v>
      </c>
      <c r="W2" s="8" t="s">
        <v>83</v>
      </c>
      <c r="X2" s="8" t="s">
        <v>84</v>
      </c>
      <c r="Y2" s="8" t="str">
        <f>C29</f>
        <v>Empleados por 100 capita</v>
      </c>
      <c r="AA2" t="e" vm="1">
        <v>#VALUE!</v>
      </c>
      <c r="AB2" cm="1" vm="2">
        <f t="array" aca="1" ref="AB2" ca="1">_FV(AA2,"Población")</f>
        <v>5157699</v>
      </c>
    </row>
    <row r="3" spans="1:28" x14ac:dyDescent="0.3">
      <c r="A3">
        <v>10</v>
      </c>
      <c r="B3" t="str" cm="1">
        <f t="array" ref="B3:B12">_xlfn._xlws.SORT(_xlfn.UNIQUE(Datos!B2:B1919))</f>
        <v>Comercio electrónico</v>
      </c>
      <c r="C3" t="str">
        <f>'Dashboard (format control)'!B7</f>
        <v>Finanzas</v>
      </c>
      <c r="E3" t="s">
        <v>57</v>
      </c>
      <c r="F3" s="2">
        <f>AVERAGEIFS(Datos!$F:$F,Datos!$B:$B,Tablas!E3,Datos!$A:$A,Tablas!$C$18)</f>
        <v>62625.291666666664</v>
      </c>
      <c r="G3">
        <f>IF(E3=$C$3,F3,0)</f>
        <v>0</v>
      </c>
      <c r="I3" t="s">
        <v>57</v>
      </c>
      <c r="J3" s="19">
        <f>SUMIFS(Datos!$E:$E,Datos!$A:$A,Tablas!$C$18,Datos!$B:$B,Tablas!I3)</f>
        <v>12378010</v>
      </c>
      <c r="K3" s="19"/>
      <c r="M3">
        <v>1</v>
      </c>
      <c r="N3">
        <v>2021</v>
      </c>
      <c r="O3" s="2">
        <f>AVERAGEIFS(Datos!$F:$F,Datos!$A:$A,Tablas!N3,Datos!$B:$B,Tablas!$C$3)</f>
        <v>77330.083333333328</v>
      </c>
      <c r="P3" s="1">
        <f>SUMIFS(Datos!$E:$E,Datos!$A:$A,Tablas!N3,Datos!$B:$B,Tablas!$C$3)</f>
        <v>8021586</v>
      </c>
      <c r="T3" t="s">
        <v>0</v>
      </c>
      <c r="U3" s="13">
        <f>SUMIFS(Datos!E:E,Datos!A:A,Tablas!C$18,Datos!B:B,Tablas!C$3,Datos!C:C,Tablas!T3)</f>
        <v>94756</v>
      </c>
      <c r="V3" vm="2">
        <v>5157699</v>
      </c>
      <c r="W3" s="13">
        <f>U3/V3*1000</f>
        <v>18.371758413974916</v>
      </c>
      <c r="X3" s="2">
        <f>AVERAGEIFS(Datos!$F:$F,Datos!$A:$A,Tablas!$C$18,Datos!$B:$B,Tablas!$C$3,Datos!$C:$C,Tablas!T3)</f>
        <v>66324</v>
      </c>
      <c r="Y3" s="14">
        <f>IF($Y$2=$X$2,-X3,-W3)</f>
        <v>-18.371758413974916</v>
      </c>
      <c r="AA3" t="e" vm="3">
        <v>#VALUE!</v>
      </c>
      <c r="AB3" cm="1" vm="4">
        <f t="array" aca="1" ref="AB3" ca="1">_FV(AA3,"Población")</f>
        <v>7582384</v>
      </c>
    </row>
    <row r="4" spans="1:28" x14ac:dyDescent="0.3">
      <c r="A4">
        <v>9</v>
      </c>
      <c r="B4" t="str">
        <v>Comunicación</v>
      </c>
      <c r="E4" t="s">
        <v>59</v>
      </c>
      <c r="F4" s="2">
        <f>AVERAGEIFS(Datos!$F:$F,Datos!$B:$B,Tablas!E4,Datos!$A:$A,Tablas!$C$18)</f>
        <v>75580.708333333328</v>
      </c>
      <c r="G4">
        <f t="shared" ref="G4:G12" si="0">IF(E4=$C$3,F4,0)</f>
        <v>0</v>
      </c>
      <c r="I4" t="s">
        <v>59</v>
      </c>
      <c r="J4" s="19">
        <f>SUMIFS(Datos!$E:$E,Datos!$A:$A,Tablas!$C$18,Datos!$B:$B,Tablas!I4)</f>
        <v>2761056</v>
      </c>
      <c r="K4" s="19"/>
      <c r="L4" s="15"/>
      <c r="M4">
        <v>2</v>
      </c>
      <c r="N4">
        <v>2022</v>
      </c>
      <c r="O4" s="2">
        <f>AVERAGEIFS(Datos!$F:$F,Datos!$A:$A,Tablas!N4,Datos!$B:$B,Tablas!$C$3)</f>
        <v>80167.854166666672</v>
      </c>
      <c r="P4" s="1">
        <f>SUMIFS(Datos!$E:$E,Datos!$A:$A,Tablas!N4,Datos!$B:$B,Tablas!$C$3)</f>
        <v>8120224</v>
      </c>
      <c r="T4" t="s">
        <v>1</v>
      </c>
      <c r="U4" s="13">
        <f>SUMIFS(Datos!E:E,Datos!A:A,Tablas!C$18,Datos!B:B,Tablas!C$3,Datos!C:C,Tablas!T4)</f>
        <v>206540</v>
      </c>
      <c r="V4" vm="4">
        <v>7582384</v>
      </c>
      <c r="W4" s="13">
        <f t="shared" ref="W4:W50" si="1">U4/V4*1000</f>
        <v>27.23945397648022</v>
      </c>
      <c r="X4" s="2">
        <f>AVERAGEIFS(Datos!$F:$F,Datos!$A:$A,Tablas!$C$18,Datos!$B:$B,Tablas!$C$3,Datos!$C:$C,Tablas!T4)</f>
        <v>68059</v>
      </c>
      <c r="Y4" s="14">
        <f t="shared" ref="Y4:Y50" si="2">IF($Y$2=$X$2,-X4,-W4)</f>
        <v>-27.23945397648022</v>
      </c>
      <c r="AA4" t="e" vm="5">
        <v>#VALUE!</v>
      </c>
      <c r="AB4" cm="1" vm="6">
        <f t="array" aca="1" ref="AB4" ca="1">_FV(AA4,"Población")</f>
        <v>3088354</v>
      </c>
    </row>
    <row r="5" spans="1:28" x14ac:dyDescent="0.3">
      <c r="A5">
        <v>8</v>
      </c>
      <c r="B5" t="str">
        <v>Educación</v>
      </c>
      <c r="E5" t="s">
        <v>54</v>
      </c>
      <c r="F5" s="2">
        <f>AVERAGEIFS(Datos!$F:$F,Datos!$B:$B,Tablas!E5,Datos!$A:$A,Tablas!$C$18)</f>
        <v>20737.416666666668</v>
      </c>
      <c r="G5">
        <f t="shared" si="0"/>
        <v>0</v>
      </c>
      <c r="I5" t="s">
        <v>54</v>
      </c>
      <c r="J5" s="19">
        <f>SUMIFS(Datos!$E:$E,Datos!$A:$A,Tablas!$C$18,Datos!$B:$B,Tablas!I5)</f>
        <v>15665534</v>
      </c>
      <c r="K5" s="19"/>
      <c r="L5" s="15"/>
      <c r="M5">
        <v>3</v>
      </c>
      <c r="N5">
        <v>2023</v>
      </c>
      <c r="O5" s="2">
        <f>AVERAGEIFS(Datos!$F:$F,Datos!$A:$A,Tablas!N5,Datos!$B:$B,Tablas!$C$3)</f>
        <v>82837.375</v>
      </c>
      <c r="P5" s="1">
        <f>SUMIFS(Datos!$E:$E,Datos!$A:$A,Tablas!N5,Datos!$B:$B,Tablas!$C$3)</f>
        <v>8251469</v>
      </c>
      <c r="T5" t="s">
        <v>2</v>
      </c>
      <c r="U5" s="13">
        <f>SUMIFS(Datos!E:E,Datos!A:A,Tablas!C$18,Datos!B:B,Tablas!C$3,Datos!C:C,Tablas!T5)</f>
        <v>49596</v>
      </c>
      <c r="V5" vm="6">
        <v>3088354</v>
      </c>
      <c r="W5" s="13">
        <f t="shared" si="1"/>
        <v>16.059039863953419</v>
      </c>
      <c r="X5" s="2">
        <f>AVERAGEIFS(Datos!$F:$F,Datos!$A:$A,Tablas!$C$18,Datos!$B:$B,Tablas!$C$3,Datos!$C:$C,Tablas!T5)</f>
        <v>55939</v>
      </c>
      <c r="Y5" s="14">
        <f t="shared" si="2"/>
        <v>-16.059039863953419</v>
      </c>
      <c r="AA5" t="e" vm="7">
        <v>#VALUE!</v>
      </c>
      <c r="AB5" cm="1" vm="8">
        <f t="array" aca="1" ref="AB5" ca="1">_FV(AA5,"Población")</f>
        <v>39431263</v>
      </c>
    </row>
    <row r="6" spans="1:28" x14ac:dyDescent="0.3">
      <c r="A6">
        <v>7</v>
      </c>
      <c r="B6" t="str">
        <v>Energía</v>
      </c>
      <c r="E6" t="s">
        <v>55</v>
      </c>
      <c r="F6" s="2">
        <f>AVERAGEIFS(Datos!$F:$F,Datos!$B:$B,Tablas!E6,Datos!$A:$A,Tablas!$C$18)</f>
        <v>51626.702127659577</v>
      </c>
      <c r="G6">
        <f t="shared" si="0"/>
        <v>0</v>
      </c>
      <c r="I6" t="s">
        <v>55</v>
      </c>
      <c r="J6" s="19">
        <f>SUMIFS(Datos!$E:$E,Datos!$A:$A,Tablas!$C$18,Datos!$B:$B,Tablas!I6)</f>
        <v>1864222</v>
      </c>
      <c r="K6" s="19"/>
      <c r="L6" s="15"/>
      <c r="M6">
        <v>4</v>
      </c>
      <c r="N6">
        <v>2024</v>
      </c>
      <c r="O6" s="2">
        <f>AVERAGEIFS(Datos!$F:$F,Datos!$A:$A,Tablas!N6,Datos!$B:$B,Tablas!$C$3)</f>
        <v>90040.666666666672</v>
      </c>
      <c r="P6" s="1">
        <f>SUMIFS(Datos!$E:$E,Datos!$A:$A,Tablas!N6,Datos!$B:$B,Tablas!$C$3)</f>
        <v>8142043</v>
      </c>
      <c r="T6" t="s">
        <v>3</v>
      </c>
      <c r="U6" s="13">
        <f>SUMIFS(Datos!E:E,Datos!A:A,Tablas!C$18,Datos!B:B,Tablas!C$3,Datos!C:C,Tablas!T6)</f>
        <v>827494</v>
      </c>
      <c r="V6" vm="8">
        <v>39431263</v>
      </c>
      <c r="W6" s="13">
        <f t="shared" si="1"/>
        <v>20.985734086174212</v>
      </c>
      <c r="X6" s="2">
        <f>AVERAGEIFS(Datos!$F:$F,Datos!$A:$A,Tablas!$C$18,Datos!$B:$B,Tablas!$C$3,Datos!$C:$C,Tablas!T6)</f>
        <v>104466</v>
      </c>
      <c r="Y6" s="14">
        <f t="shared" si="2"/>
        <v>-20.985734086174212</v>
      </c>
      <c r="AA6" t="e" vm="9">
        <v>#VALUE!</v>
      </c>
      <c r="AB6" cm="1" vm="10">
        <f t="array" aca="1" ref="AB6" ca="1">_FV(AA6,"Población")</f>
        <v>5957493</v>
      </c>
    </row>
    <row r="7" spans="1:28" x14ac:dyDescent="0.3">
      <c r="A7">
        <v>6</v>
      </c>
      <c r="B7" t="str">
        <v>Finanzas</v>
      </c>
      <c r="E7" t="s">
        <v>60</v>
      </c>
      <c r="F7" s="2">
        <f>AVERAGEIFS(Datos!$F:$F,Datos!$B:$B,Tablas!E7,Datos!$A:$A,Tablas!$C$18)</f>
        <v>77330.083333333328</v>
      </c>
      <c r="G7">
        <f t="shared" si="0"/>
        <v>77330.083333333328</v>
      </c>
      <c r="I7" t="s">
        <v>60</v>
      </c>
      <c r="J7" s="19">
        <f>SUMIFS(Datos!$E:$E,Datos!$A:$A,Tablas!$C$18,Datos!$B:$B,Tablas!I7)</f>
        <v>8021586</v>
      </c>
      <c r="K7" s="19"/>
      <c r="L7" s="15"/>
      <c r="T7" t="s">
        <v>4</v>
      </c>
      <c r="U7" s="13">
        <f>SUMIFS(Datos!E:E,Datos!A:A,Tablas!C$18,Datos!B:B,Tablas!C$3,Datos!C:C,Tablas!T7)</f>
        <v>161870</v>
      </c>
      <c r="V7" vm="10">
        <v>5957493</v>
      </c>
      <c r="W7" s="13">
        <f t="shared" si="1"/>
        <v>27.170825043352966</v>
      </c>
      <c r="X7" s="2">
        <f>AVERAGEIFS(Datos!$F:$F,Datos!$A:$A,Tablas!$C$18,Datos!$B:$B,Tablas!$C$3,Datos!$C:$C,Tablas!T7)</f>
        <v>81536</v>
      </c>
      <c r="Y7" s="14">
        <f t="shared" si="2"/>
        <v>-27.170825043352966</v>
      </c>
      <c r="AA7" t="e" vm="11">
        <v>#VALUE!</v>
      </c>
      <c r="AB7" cm="1" vm="12">
        <f t="array" aca="1" ref="AB7" ca="1">_FV(AA7,"Población")</f>
        <v>3675069</v>
      </c>
    </row>
    <row r="8" spans="1:28" x14ac:dyDescent="0.3">
      <c r="A8">
        <v>5</v>
      </c>
      <c r="B8" t="str">
        <v>Logística</v>
      </c>
      <c r="E8" t="s">
        <v>56</v>
      </c>
      <c r="F8" s="2">
        <f>AVERAGEIFS(Datos!$F:$F,Datos!$B:$B,Tablas!E8,Datos!$A:$A,Tablas!$C$18)</f>
        <v>57353.829787234041</v>
      </c>
      <c r="G8">
        <f t="shared" si="0"/>
        <v>0</v>
      </c>
      <c r="I8" t="s">
        <v>56</v>
      </c>
      <c r="J8" s="19">
        <f>SUMIFS(Datos!$E:$E,Datos!$A:$A,Tablas!$C$18,Datos!$B:$B,Tablas!I8)</f>
        <v>6834462</v>
      </c>
      <c r="K8" s="19"/>
      <c r="L8" s="15"/>
      <c r="T8" t="s">
        <v>5</v>
      </c>
      <c r="U8" s="13">
        <f>SUMIFS(Datos!E:E,Datos!A:A,Tablas!C$18,Datos!B:B,Tablas!C$3,Datos!C:C,Tablas!T8)</f>
        <v>126051</v>
      </c>
      <c r="V8" vm="12">
        <v>3675069</v>
      </c>
      <c r="W8" s="13">
        <f t="shared" si="1"/>
        <v>34.298947856489221</v>
      </c>
      <c r="X8" s="2">
        <f>AVERAGEIFS(Datos!$F:$F,Datos!$A:$A,Tablas!$C$18,Datos!$B:$B,Tablas!$C$3,Datos!$C:$C,Tablas!T8)</f>
        <v>152598</v>
      </c>
      <c r="Y8" s="14">
        <f t="shared" si="2"/>
        <v>-34.298947856489221</v>
      </c>
      <c r="AA8" t="e" vm="13">
        <v>#VALUE!</v>
      </c>
      <c r="AB8" cm="1" vm="14">
        <f t="array" aca="1" ref="AB8" ca="1">_FV(AA8,"Población")</f>
        <v>1051917</v>
      </c>
    </row>
    <row r="9" spans="1:28" x14ac:dyDescent="0.3">
      <c r="A9">
        <v>4</v>
      </c>
      <c r="B9" t="str">
        <v>Negocios</v>
      </c>
      <c r="E9" t="s">
        <v>61</v>
      </c>
      <c r="F9" s="2">
        <f>AVERAGEIFS(Datos!$F:$F,Datos!$B:$B,Tablas!E9,Datos!$A:$A,Tablas!$C$18)</f>
        <v>64714.4375</v>
      </c>
      <c r="G9">
        <f t="shared" si="0"/>
        <v>0</v>
      </c>
      <c r="I9" t="s">
        <v>61</v>
      </c>
      <c r="J9" s="19">
        <f>SUMIFS(Datos!$E:$E,Datos!$A:$A,Tablas!$C$18,Datos!$B:$B,Tablas!I9)</f>
        <v>20063464</v>
      </c>
      <c r="K9" s="19"/>
      <c r="L9" s="15"/>
      <c r="T9" t="s">
        <v>6</v>
      </c>
      <c r="U9" s="13">
        <f>SUMIFS(Datos!E:E,Datos!A:A,Tablas!C$18,Datos!B:B,Tablas!C$3,Datos!C:C,Tablas!T9)</f>
        <v>47894</v>
      </c>
      <c r="V9" vm="14">
        <v>1051917</v>
      </c>
      <c r="W9" s="13">
        <f t="shared" si="1"/>
        <v>45.530208181824229</v>
      </c>
      <c r="X9" s="2">
        <f>AVERAGEIFS(Datos!$F:$F,Datos!$A:$A,Tablas!$C$18,Datos!$B:$B,Tablas!$C$3,Datos!$C:$C,Tablas!T9)</f>
        <v>92267</v>
      </c>
      <c r="Y9" s="14">
        <f t="shared" si="2"/>
        <v>-45.530208181824229</v>
      </c>
      <c r="AA9" t="e" vm="15">
        <v>#VALUE!</v>
      </c>
      <c r="AB9" cm="1" vm="16">
        <f t="array" aca="1" ref="AB9" ca="1">_FV(AA9,"Población")</f>
        <v>23372215</v>
      </c>
    </row>
    <row r="10" spans="1:28" x14ac:dyDescent="0.3">
      <c r="A10">
        <v>3</v>
      </c>
      <c r="B10" t="str">
        <v>Salud</v>
      </c>
      <c r="E10" t="s">
        <v>62</v>
      </c>
      <c r="F10" s="2">
        <f>AVERAGEIFS(Datos!$F:$F,Datos!$B:$B,Tablas!E10,Datos!$A:$A,Tablas!$C$18)</f>
        <v>47654.729166666664</v>
      </c>
      <c r="G10">
        <f t="shared" si="0"/>
        <v>0</v>
      </c>
      <c r="I10" t="s">
        <v>62</v>
      </c>
      <c r="J10" s="19">
        <f>SUMIFS(Datos!$E:$E,Datos!$A:$A,Tablas!$C$18,Datos!$B:$B,Tablas!I10)</f>
        <v>21899196</v>
      </c>
      <c r="K10" s="19"/>
      <c r="L10" s="15"/>
      <c r="T10" t="s">
        <v>7</v>
      </c>
      <c r="U10" s="13">
        <f>SUMIFS(Datos!E:E,Datos!A:A,Tablas!C$18,Datos!B:B,Tablas!C$3,Datos!C:C,Tablas!T10)</f>
        <v>556510</v>
      </c>
      <c r="V10" vm="16">
        <v>23372215</v>
      </c>
      <c r="W10" s="13">
        <f t="shared" si="1"/>
        <v>23.810751355829989</v>
      </c>
      <c r="X10" s="2">
        <f>AVERAGEIFS(Datos!$F:$F,Datos!$A:$A,Tablas!$C$18,Datos!$B:$B,Tablas!$C$3,Datos!$C:$C,Tablas!T10)</f>
        <v>72708</v>
      </c>
      <c r="Y10" s="14">
        <f t="shared" si="2"/>
        <v>-23.810751355829989</v>
      </c>
      <c r="AA10" t="e" vm="17">
        <v>#VALUE!</v>
      </c>
      <c r="AB10" cm="1" vm="18">
        <f t="array" aca="1" ref="AB10" ca="1">_FV(AA10,"Población")</f>
        <v>11180878</v>
      </c>
    </row>
    <row r="11" spans="1:28" x14ac:dyDescent="0.3">
      <c r="A11">
        <v>2</v>
      </c>
      <c r="B11" t="str">
        <v>Tecnología</v>
      </c>
      <c r="E11" t="s">
        <v>63</v>
      </c>
      <c r="F11" s="2">
        <f>AVERAGEIFS(Datos!$F:$F,Datos!$B:$B,Tablas!E11,Datos!$A:$A,Tablas!$C$18)</f>
        <v>34629.270833333336</v>
      </c>
      <c r="G11">
        <f t="shared" si="0"/>
        <v>0</v>
      </c>
      <c r="I11" t="s">
        <v>63</v>
      </c>
      <c r="J11" s="19">
        <f>SUMIFS(Datos!$E:$E,Datos!$A:$A,Tablas!$C$18,Datos!$B:$B,Tablas!I11)</f>
        <v>4326750</v>
      </c>
      <c r="K11" s="19"/>
      <c r="L11" s="15"/>
      <c r="T11" t="s">
        <v>8</v>
      </c>
      <c r="U11" s="13">
        <f>SUMIFS(Datos!E:E,Datos!A:A,Tablas!C$18,Datos!B:B,Tablas!C$3,Datos!C:C,Tablas!T11)</f>
        <v>233995</v>
      </c>
      <c r="V11" vm="18">
        <v>11180878</v>
      </c>
      <c r="W11" s="13">
        <f t="shared" si="1"/>
        <v>20.928141779205536</v>
      </c>
      <c r="X11" s="2">
        <f>AVERAGEIFS(Datos!$F:$F,Datos!$A:$A,Tablas!$C$18,Datos!$B:$B,Tablas!$C$3,Datos!$C:$C,Tablas!T11)</f>
        <v>81197</v>
      </c>
      <c r="Y11" s="14">
        <f t="shared" si="2"/>
        <v>-20.928141779205536</v>
      </c>
      <c r="AA11" t="e" vm="19">
        <v>#VALUE!</v>
      </c>
      <c r="AB11" cm="1" vm="20">
        <f t="array" aca="1" ref="AB11" ca="1">_FV(AA11,"Población")</f>
        <v>2001619</v>
      </c>
    </row>
    <row r="12" spans="1:28" x14ac:dyDescent="0.3">
      <c r="A12">
        <v>1</v>
      </c>
      <c r="B12" t="str">
        <v>Transporte</v>
      </c>
      <c r="E12" t="s">
        <v>58</v>
      </c>
      <c r="F12" s="2">
        <f>AVERAGEIFS(Datos!$F:$F,Datos!$B:$B,Tablas!E12,Datos!$A:$A,Tablas!$C$18)</f>
        <v>43391.395833333336</v>
      </c>
      <c r="G12">
        <f t="shared" si="0"/>
        <v>0</v>
      </c>
      <c r="I12" t="s">
        <v>58</v>
      </c>
      <c r="J12" s="19">
        <f>SUMIFS(Datos!$E:$E,Datos!$A:$A,Tablas!$C$18,Datos!$B:$B,Tablas!I12)</f>
        <v>27033069</v>
      </c>
      <c r="K12" s="19"/>
      <c r="L12" s="15"/>
      <c r="T12" t="s">
        <v>9</v>
      </c>
      <c r="U12" s="13">
        <f>SUMIFS(Datos!E:E,Datos!A:A,Tablas!C$18,Datos!B:B,Tablas!C$3,Datos!C:C,Tablas!T12)</f>
        <v>31064</v>
      </c>
      <c r="V12" vm="20">
        <v>2001619</v>
      </c>
      <c r="W12" s="13">
        <f t="shared" si="1"/>
        <v>15.519437015735763</v>
      </c>
      <c r="X12" s="2">
        <f>AVERAGEIFS(Datos!$F:$F,Datos!$A:$A,Tablas!$C$18,Datos!$B:$B,Tablas!$C$3,Datos!$C:$C,Tablas!T12)</f>
        <v>53820</v>
      </c>
      <c r="Y12" s="14">
        <f t="shared" si="2"/>
        <v>-15.519437015735763</v>
      </c>
      <c r="AA12" t="e" vm="21">
        <v>#VALUE!</v>
      </c>
      <c r="AB12" cm="1" vm="22">
        <f t="array" aca="1" ref="AB12" ca="1">_FV(AA12,"Población")</f>
        <v>12710158</v>
      </c>
    </row>
    <row r="13" spans="1:28" x14ac:dyDescent="0.3">
      <c r="T13" t="s">
        <v>10</v>
      </c>
      <c r="U13" s="13">
        <f>SUMIFS(Datos!E:E,Datos!A:A,Tablas!C$18,Datos!B:B,Tablas!C$3,Datos!C:C,Tablas!T13)</f>
        <v>370517</v>
      </c>
      <c r="V13" vm="22">
        <v>12710158</v>
      </c>
      <c r="W13" s="13">
        <f t="shared" si="1"/>
        <v>29.151250519466398</v>
      </c>
      <c r="X13" s="2">
        <f>AVERAGEIFS(Datos!$F:$F,Datos!$A:$A,Tablas!$C$18,Datos!$B:$B,Tablas!$C$3,Datos!$C:$C,Tablas!T13)</f>
        <v>104689</v>
      </c>
      <c r="Y13" s="14">
        <f t="shared" si="2"/>
        <v>-29.151250519466398</v>
      </c>
      <c r="AA13" t="e" vm="23">
        <v>#VALUE!</v>
      </c>
      <c r="AB13" cm="1" vm="24">
        <f t="array" aca="1" ref="AB13" ca="1">_FV(AA13,"Población")</f>
        <v>6924275</v>
      </c>
    </row>
    <row r="14" spans="1:28" x14ac:dyDescent="0.3">
      <c r="T14" t="s">
        <v>11</v>
      </c>
      <c r="U14" s="13">
        <f>SUMIFS(Datos!E:E,Datos!A:A,Tablas!C$18,Datos!B:B,Tablas!C$3,Datos!C:C,Tablas!T14)</f>
        <v>131758</v>
      </c>
      <c r="V14" vm="24">
        <v>6924275</v>
      </c>
      <c r="W14" s="13">
        <f t="shared" si="1"/>
        <v>19.028418137638958</v>
      </c>
      <c r="X14" s="2">
        <f>AVERAGEIFS(Datos!$F:$F,Datos!$A:$A,Tablas!$C$18,Datos!$B:$B,Tablas!$C$3,Datos!$C:$C,Tablas!T14)</f>
        <v>62518</v>
      </c>
      <c r="Y14" s="14">
        <f t="shared" si="2"/>
        <v>-19.028418137638958</v>
      </c>
      <c r="AA14" t="e" vm="25">
        <v>#VALUE!</v>
      </c>
      <c r="AB14" cm="1" vm="26">
        <f t="array" aca="1" ref="AB14" ca="1">_FV(AA14,"Población")</f>
        <v>3241488</v>
      </c>
    </row>
    <row r="15" spans="1:28" x14ac:dyDescent="0.3">
      <c r="T15" t="s">
        <v>12</v>
      </c>
      <c r="U15" s="13">
        <f>SUMIFS(Datos!E:E,Datos!A:A,Tablas!C$18,Datos!B:B,Tablas!C$3,Datos!C:C,Tablas!T15)</f>
        <v>108983</v>
      </c>
      <c r="V15" vm="26">
        <v>3241488</v>
      </c>
      <c r="W15" s="13">
        <f t="shared" si="1"/>
        <v>33.621287507465709</v>
      </c>
      <c r="X15" s="2">
        <f>AVERAGEIFS(Datos!$F:$F,Datos!$A:$A,Tablas!$C$18,Datos!$B:$B,Tablas!$C$3,Datos!$C:$C,Tablas!T15)</f>
        <v>71597</v>
      </c>
      <c r="Y15" s="14">
        <f t="shared" si="2"/>
        <v>-33.621287507465709</v>
      </c>
      <c r="AA15" t="e" vm="27">
        <v>#VALUE!</v>
      </c>
      <c r="AB15" cm="1" vm="28">
        <f t="array" aca="1" ref="AB15" ca="1">_FV(AA15,"Población")</f>
        <v>2970606</v>
      </c>
    </row>
    <row r="16" spans="1:28" x14ac:dyDescent="0.3">
      <c r="T16" t="s">
        <v>13</v>
      </c>
      <c r="U16" s="13">
        <f>SUMIFS(Datos!E:E,Datos!A:A,Tablas!C$18,Datos!B:B,Tablas!C$3,Datos!C:C,Tablas!T16)</f>
        <v>74321</v>
      </c>
      <c r="V16" vm="28">
        <v>2970606</v>
      </c>
      <c r="W16" s="13">
        <f t="shared" si="1"/>
        <v>25.018800877666038</v>
      </c>
      <c r="X16" s="2">
        <f>AVERAGEIFS(Datos!$F:$F,Datos!$A:$A,Tablas!$C$18,Datos!$B:$B,Tablas!$C$3,Datos!$C:$C,Tablas!T16)</f>
        <v>65845</v>
      </c>
      <c r="Y16" s="14">
        <f t="shared" si="2"/>
        <v>-25.018800877666038</v>
      </c>
      <c r="AA16" t="e" vm="29">
        <v>#VALUE!</v>
      </c>
      <c r="AB16" cm="1" vm="30">
        <f t="array" aca="1" ref="AB16" ca="1">_FV(AA16,"Población")</f>
        <v>4588372</v>
      </c>
    </row>
    <row r="17" spans="2:28" x14ac:dyDescent="0.3">
      <c r="B17" s="17" t="s">
        <v>68</v>
      </c>
      <c r="C17" s="17"/>
      <c r="I17" s="22" t="s">
        <v>67</v>
      </c>
      <c r="J17" s="22"/>
      <c r="K17" s="22"/>
      <c r="L17" s="25"/>
      <c r="T17" t="s">
        <v>14</v>
      </c>
      <c r="U17" s="13">
        <f>SUMIFS(Datos!E:E,Datos!A:A,Tablas!C$18,Datos!B:B,Tablas!C$3,Datos!C:C,Tablas!T17)</f>
        <v>93126</v>
      </c>
      <c r="V17" vm="30">
        <v>4588372</v>
      </c>
      <c r="W17" s="13">
        <f t="shared" si="1"/>
        <v>20.296087588364674</v>
      </c>
      <c r="X17" s="2">
        <f>AVERAGEIFS(Datos!$F:$F,Datos!$A:$A,Tablas!$C$18,Datos!$B:$B,Tablas!$C$3,Datos!$C:$C,Tablas!T17)</f>
        <v>64967</v>
      </c>
      <c r="Y17" s="14">
        <f t="shared" si="2"/>
        <v>-20.296087588364674</v>
      </c>
      <c r="AA17" t="e" vm="31">
        <v>#VALUE!</v>
      </c>
      <c r="AB17" cm="1" vm="32">
        <f t="array" aca="1" ref="AB17" ca="1">_FV(AA17,"Población")</f>
        <v>4597740</v>
      </c>
    </row>
    <row r="18" spans="2:28" x14ac:dyDescent="0.3">
      <c r="B18" s="6" t="s">
        <v>79</v>
      </c>
      <c r="C18">
        <f>'Dashboard (format control)'!D7</f>
        <v>2021</v>
      </c>
      <c r="I18" s="8" t="s">
        <v>73</v>
      </c>
      <c r="J18" s="20" t="s">
        <v>75</v>
      </c>
      <c r="K18" s="20"/>
      <c r="L18" s="26"/>
      <c r="T18" t="s">
        <v>15</v>
      </c>
      <c r="U18" s="13">
        <f>SUMIFS(Datos!E:E,Datos!A:A,Tablas!C$18,Datos!B:B,Tablas!C$3,Datos!C:C,Tablas!T18)</f>
        <v>85771</v>
      </c>
      <c r="V18" vm="32">
        <v>4597740</v>
      </c>
      <c r="W18" s="13">
        <f t="shared" si="1"/>
        <v>18.65503486495539</v>
      </c>
      <c r="X18" s="2">
        <f>AVERAGEIFS(Datos!$F:$F,Datos!$A:$A,Tablas!$C$18,Datos!$B:$B,Tablas!$C$3,Datos!$C:$C,Tablas!T18)</f>
        <v>59758</v>
      </c>
      <c r="Y18" s="14">
        <f t="shared" si="2"/>
        <v>-18.65503486495539</v>
      </c>
      <c r="AA18" t="e" vm="33">
        <v>#VALUE!</v>
      </c>
      <c r="AB18" cm="1" vm="34">
        <f t="array" aca="1" ref="AB18" ca="1">_FV(AA18,"Población")</f>
        <v>1405012</v>
      </c>
    </row>
    <row r="19" spans="2:28" x14ac:dyDescent="0.3">
      <c r="I19" t="str">
        <f>C3</f>
        <v>Finanzas</v>
      </c>
      <c r="J19" s="19">
        <f>_xlfn.XLOOKUP(I19, I3:I12, J3:J12)</f>
        <v>8021586</v>
      </c>
      <c r="K19" s="19"/>
      <c r="L19" s="15"/>
      <c r="T19" t="s">
        <v>16</v>
      </c>
      <c r="U19" s="13">
        <f>SUMIFS(Datos!E:E,Datos!A:A,Tablas!C$18,Datos!B:B,Tablas!C$3,Datos!C:C,Tablas!T19)</f>
        <v>29417</v>
      </c>
      <c r="V19" vm="34">
        <v>1405012</v>
      </c>
      <c r="W19" s="13">
        <f t="shared" si="1"/>
        <v>20.937187725087046</v>
      </c>
      <c r="X19" s="2">
        <f>AVERAGEIFS(Datos!$F:$F,Datos!$A:$A,Tablas!$C$18,Datos!$B:$B,Tablas!$C$3,Datos!$C:$C,Tablas!T19)</f>
        <v>65934</v>
      </c>
      <c r="Y19" s="14">
        <f t="shared" si="2"/>
        <v>-20.937187725087046</v>
      </c>
      <c r="AA19" t="e" vm="35">
        <v>#VALUE!</v>
      </c>
      <c r="AB19" cm="1" vm="36">
        <f t="array" aca="1" ref="AB19" ca="1">_FV(AA19,"Población")</f>
        <v>6263220</v>
      </c>
    </row>
    <row r="20" spans="2:28" x14ac:dyDescent="0.3">
      <c r="I20" t="s">
        <v>81</v>
      </c>
      <c r="J20" s="19">
        <f>SUM(J3:K12)-J19</f>
        <v>112825763</v>
      </c>
      <c r="K20" s="19"/>
      <c r="L20" s="15"/>
      <c r="T20" t="s">
        <v>17</v>
      </c>
      <c r="U20" s="13">
        <f>SUMIFS(Datos!E:E,Datos!A:A,Tablas!C$18,Datos!B:B,Tablas!C$3,Datos!C:C,Tablas!T20)</f>
        <v>140287</v>
      </c>
      <c r="V20" vm="36">
        <v>6263220</v>
      </c>
      <c r="W20" s="13">
        <f t="shared" si="1"/>
        <v>22.398542602686796</v>
      </c>
      <c r="X20" s="2">
        <f>AVERAGEIFS(Datos!$F:$F,Datos!$A:$A,Tablas!$C$18,Datos!$B:$B,Tablas!$C$3,Datos!$C:$C,Tablas!T20)</f>
        <v>90791</v>
      </c>
      <c r="Y20" s="14">
        <f t="shared" si="2"/>
        <v>-22.398542602686796</v>
      </c>
      <c r="AA20" t="e" vm="37">
        <v>#VALUE!</v>
      </c>
      <c r="AB20" cm="1" vm="38">
        <f t="array" aca="1" ref="AB20" ca="1">_FV(AA20,"Población")</f>
        <v>7136171</v>
      </c>
    </row>
    <row r="21" spans="2:28" x14ac:dyDescent="0.3">
      <c r="I21" s="10" t="s">
        <v>72</v>
      </c>
      <c r="J21" s="18">
        <f>J19/SUM(J3:K12)</f>
        <v>6.6377840030235169E-2</v>
      </c>
      <c r="K21" s="18"/>
      <c r="L21" s="16"/>
      <c r="T21" t="s">
        <v>18</v>
      </c>
      <c r="U21" s="13">
        <f>SUMIFS(Datos!E:E,Datos!A:A,Tablas!C$18,Datos!B:B,Tablas!C$3,Datos!C:C,Tablas!T21)</f>
        <v>216567</v>
      </c>
      <c r="V21" vm="38">
        <v>7136171</v>
      </c>
      <c r="W21" s="13">
        <f t="shared" si="1"/>
        <v>30.347787349826678</v>
      </c>
      <c r="X21" s="2">
        <f>AVERAGEIFS(Datos!$F:$F,Datos!$A:$A,Tablas!$C$18,Datos!$B:$B,Tablas!$C$3,Datos!$C:$C,Tablas!T21)</f>
        <v>136040</v>
      </c>
      <c r="Y21" s="14">
        <f t="shared" si="2"/>
        <v>-30.347787349826678</v>
      </c>
      <c r="AA21" t="e" vm="39">
        <v>#VALUE!</v>
      </c>
      <c r="AB21" cm="1" vm="40">
        <f t="array" aca="1" ref="AB21" ca="1">_FV(AA21,"Población")</f>
        <v>10140459</v>
      </c>
    </row>
    <row r="22" spans="2:28" x14ac:dyDescent="0.3">
      <c r="T22" t="s">
        <v>19</v>
      </c>
      <c r="U22" s="13">
        <f>SUMIFS(Datos!E:E,Datos!A:A,Tablas!C$18,Datos!B:B,Tablas!C$3,Datos!C:C,Tablas!T22)</f>
        <v>202358</v>
      </c>
      <c r="V22" vm="40">
        <v>10140459</v>
      </c>
      <c r="W22" s="13">
        <f t="shared" si="1"/>
        <v>19.955506945001208</v>
      </c>
      <c r="X22" s="2">
        <f>AVERAGEIFS(Datos!$F:$F,Datos!$A:$A,Tablas!$C$18,Datos!$B:$B,Tablas!$C$3,Datos!$C:$C,Tablas!T22)</f>
        <v>69275</v>
      </c>
      <c r="Y22" s="14">
        <f t="shared" si="2"/>
        <v>-19.955506945001208</v>
      </c>
      <c r="AA22" t="e" vm="41">
        <v>#VALUE!</v>
      </c>
      <c r="AB22" cm="1" vm="42">
        <f t="array" aca="1" ref="AB22" ca="1">_FV(AA22,"Población")</f>
        <v>5793151</v>
      </c>
    </row>
    <row r="23" spans="2:28" x14ac:dyDescent="0.3">
      <c r="T23" t="s">
        <v>20</v>
      </c>
      <c r="U23" s="13">
        <f>SUMIFS(Datos!E:E,Datos!A:A,Tablas!C$18,Datos!B:B,Tablas!C$3,Datos!C:C,Tablas!T23)</f>
        <v>175945</v>
      </c>
      <c r="V23" vm="42">
        <v>5793151</v>
      </c>
      <c r="W23" s="13">
        <f t="shared" si="1"/>
        <v>30.371209036325826</v>
      </c>
      <c r="X23" s="2">
        <f>AVERAGEIFS(Datos!$F:$F,Datos!$A:$A,Tablas!$C$18,Datos!$B:$B,Tablas!$C$3,Datos!$C:$C,Tablas!T23)</f>
        <v>91036</v>
      </c>
      <c r="Y23" s="14">
        <f t="shared" si="2"/>
        <v>-30.371209036325826</v>
      </c>
      <c r="AA23" t="e" vm="43">
        <v>#VALUE!</v>
      </c>
      <c r="AB23" cm="1" vm="44">
        <f t="array" aca="1" ref="AB23" ca="1">_FV(AA23,"Población")</f>
        <v>2943045</v>
      </c>
    </row>
    <row r="24" spans="2:28" x14ac:dyDescent="0.3">
      <c r="T24" t="s">
        <v>21</v>
      </c>
      <c r="U24" s="13">
        <f>SUMIFS(Datos!E:E,Datos!A:A,Tablas!C$18,Datos!B:B,Tablas!C$3,Datos!C:C,Tablas!T24)</f>
        <v>42981</v>
      </c>
      <c r="V24" vm="44">
        <v>2943045</v>
      </c>
      <c r="W24" s="13">
        <f t="shared" si="1"/>
        <v>14.604261912407047</v>
      </c>
      <c r="X24" s="2">
        <f>AVERAGEIFS(Datos!$F:$F,Datos!$A:$A,Tablas!$C$18,Datos!$B:$B,Tablas!$C$3,Datos!$C:$C,Tablas!T24)</f>
        <v>51222</v>
      </c>
      <c r="Y24" s="14">
        <f t="shared" si="2"/>
        <v>-14.604261912407047</v>
      </c>
      <c r="AA24" t="e" vm="45">
        <v>#VALUE!</v>
      </c>
      <c r="AB24" cm="1" vm="46">
        <f t="array" aca="1" ref="AB24" ca="1">_FV(AA24,"Población")</f>
        <v>6245466</v>
      </c>
    </row>
    <row r="25" spans="2:28" x14ac:dyDescent="0.3">
      <c r="T25" t="s">
        <v>22</v>
      </c>
      <c r="U25" s="13">
        <f>SUMIFS(Datos!E:E,Datos!A:A,Tablas!C$18,Datos!B:B,Tablas!C$3,Datos!C:C,Tablas!T25)</f>
        <v>163353</v>
      </c>
      <c r="V25" vm="46">
        <v>6245466</v>
      </c>
      <c r="W25" s="13">
        <f t="shared" si="1"/>
        <v>26.155454212704065</v>
      </c>
      <c r="X25" s="2">
        <f>AVERAGEIFS(Datos!$F:$F,Datos!$A:$A,Tablas!$C$18,Datos!$B:$B,Tablas!$C$3,Datos!$C:$C,Tablas!T25)</f>
        <v>68974</v>
      </c>
      <c r="Y25" s="14">
        <f t="shared" si="2"/>
        <v>-26.155454212704065</v>
      </c>
      <c r="AA25" t="e" vm="47">
        <v>#VALUE!</v>
      </c>
      <c r="AB25" cm="1" vm="48">
        <f t="array" aca="1" ref="AB25" ca="1">_FV(AA25,"Población")</f>
        <v>1137233</v>
      </c>
    </row>
    <row r="26" spans="2:28" x14ac:dyDescent="0.3">
      <c r="T26" t="s">
        <v>23</v>
      </c>
      <c r="U26" s="13">
        <f>SUMIFS(Datos!E:E,Datos!A:A,Tablas!C$18,Datos!B:B,Tablas!C$3,Datos!C:C,Tablas!T26)</f>
        <v>20935</v>
      </c>
      <c r="V26" vm="48">
        <v>1137233</v>
      </c>
      <c r="W26" s="13">
        <f t="shared" si="1"/>
        <v>18.408716595455811</v>
      </c>
      <c r="X26" s="2">
        <f>AVERAGEIFS(Datos!$F:$F,Datos!$A:$A,Tablas!$C$18,Datos!$B:$B,Tablas!$C$3,Datos!$C:$C,Tablas!T26)</f>
        <v>56708</v>
      </c>
      <c r="Y26" s="14">
        <f t="shared" si="2"/>
        <v>-18.408716595455811</v>
      </c>
      <c r="AA26" t="e" vm="49">
        <v>#VALUE!</v>
      </c>
      <c r="AB26" cm="1" vm="50">
        <f t="array" aca="1" ref="AB26" ca="1">_FV(AA26,"Población")</f>
        <v>2005465</v>
      </c>
    </row>
    <row r="27" spans="2:28" x14ac:dyDescent="0.3">
      <c r="T27" t="s">
        <v>24</v>
      </c>
      <c r="U27" s="13">
        <f>SUMIFS(Datos!E:E,Datos!A:A,Tablas!C$18,Datos!B:B,Tablas!C$3,Datos!C:C,Tablas!T27)</f>
        <v>66237</v>
      </c>
      <c r="V27" vm="50">
        <v>2005465</v>
      </c>
      <c r="W27" s="13">
        <f t="shared" si="1"/>
        <v>33.02825030603875</v>
      </c>
      <c r="X27" s="2">
        <f>AVERAGEIFS(Datos!$F:$F,Datos!$A:$A,Tablas!$C$18,Datos!$B:$B,Tablas!$C$3,Datos!$C:$C,Tablas!T27)</f>
        <v>63484</v>
      </c>
      <c r="Y27" s="14">
        <f t="shared" si="2"/>
        <v>-33.02825030603875</v>
      </c>
      <c r="AA27" t="e" vm="51">
        <v>#VALUE!</v>
      </c>
      <c r="AB27" cm="1" vm="52">
        <f t="array" aca="1" ref="AB27" ca="1">_FV(AA27,"Población")</f>
        <v>3267467</v>
      </c>
    </row>
    <row r="28" spans="2:28" x14ac:dyDescent="0.3">
      <c r="B28" s="17" t="s">
        <v>69</v>
      </c>
      <c r="C28" s="17"/>
      <c r="T28" t="s">
        <v>25</v>
      </c>
      <c r="U28" s="13">
        <f>SUMIFS(Datos!E:E,Datos!A:A,Tablas!C$18,Datos!B:B,Tablas!C$3,Datos!C:C,Tablas!T28)</f>
        <v>61375</v>
      </c>
      <c r="V28" vm="52">
        <v>3267467</v>
      </c>
      <c r="W28" s="13">
        <f t="shared" si="1"/>
        <v>18.783663308611839</v>
      </c>
      <c r="X28" s="2">
        <f>AVERAGEIFS(Datos!$F:$F,Datos!$A:$A,Tablas!$C$18,Datos!$B:$B,Tablas!$C$3,Datos!$C:$C,Tablas!T28)</f>
        <v>63979</v>
      </c>
      <c r="Y28" s="14">
        <f t="shared" si="2"/>
        <v>-18.783663308611839</v>
      </c>
      <c r="AA28" t="e" vm="53">
        <v>#VALUE!</v>
      </c>
      <c r="AB28" cm="1" vm="54">
        <f t="array" aca="1" ref="AB28" ca="1">_FV(AA28,"Población")</f>
        <v>1409032</v>
      </c>
    </row>
    <row r="29" spans="2:28" x14ac:dyDescent="0.3">
      <c r="B29" s="6" t="s">
        <v>78</v>
      </c>
      <c r="C29" t="str">
        <f>IF('Dashboard (format control)'!A1=1,X2,W2)</f>
        <v>Empleados por 100 capita</v>
      </c>
      <c r="T29" t="s">
        <v>26</v>
      </c>
      <c r="U29" s="13">
        <f>SUMIFS(Datos!E:E,Datos!A:A,Tablas!C$18,Datos!B:B,Tablas!C$3,Datos!C:C,Tablas!T29)</f>
        <v>33894</v>
      </c>
      <c r="V29" vm="54">
        <v>1409032</v>
      </c>
      <c r="W29" s="13">
        <f t="shared" si="1"/>
        <v>24.054812097950933</v>
      </c>
      <c r="X29" s="2">
        <f>AVERAGEIFS(Datos!$F:$F,Datos!$A:$A,Tablas!$C$18,Datos!$B:$B,Tablas!$C$3,Datos!$C:$C,Tablas!T29)</f>
        <v>91139</v>
      </c>
      <c r="Y29" s="14">
        <f t="shared" si="2"/>
        <v>-24.054812097950933</v>
      </c>
      <c r="AA29" t="e" vm="55">
        <v>#VALUE!</v>
      </c>
      <c r="AB29" cm="1" vm="56">
        <f t="array" aca="1" ref="AB29" ca="1">_FV(AA29,"Población")</f>
        <v>9288994</v>
      </c>
    </row>
    <row r="30" spans="2:28" x14ac:dyDescent="0.3">
      <c r="T30" t="s">
        <v>27</v>
      </c>
      <c r="U30" s="13">
        <f>SUMIFS(Datos!E:E,Datos!A:A,Tablas!C$18,Datos!B:B,Tablas!C$3,Datos!C:C,Tablas!T30)</f>
        <v>241026</v>
      </c>
      <c r="V30" vm="56">
        <v>9288994</v>
      </c>
      <c r="W30" s="13">
        <f t="shared" si="1"/>
        <v>25.947481503379159</v>
      </c>
      <c r="X30" s="2">
        <f>AVERAGEIFS(Datos!$F:$F,Datos!$A:$A,Tablas!$C$18,Datos!$B:$B,Tablas!$C$3,Datos!$C:$C,Tablas!T30)</f>
        <v>111862</v>
      </c>
      <c r="Y30" s="14">
        <f t="shared" si="2"/>
        <v>-25.947481503379159</v>
      </c>
      <c r="AA30" t="e" vm="57">
        <v>#VALUE!</v>
      </c>
      <c r="AB30" cm="1" vm="58">
        <f t="array" aca="1" ref="AB30" ca="1">_FV(AA30,"Población")</f>
        <v>2130256</v>
      </c>
    </row>
    <row r="31" spans="2:28" x14ac:dyDescent="0.3">
      <c r="T31" t="s">
        <v>28</v>
      </c>
      <c r="U31" s="13">
        <f>SUMIFS(Datos!E:E,Datos!A:A,Tablas!C$18,Datos!B:B,Tablas!C$3,Datos!C:C,Tablas!T31)</f>
        <v>32604</v>
      </c>
      <c r="V31" vm="58">
        <v>2130256</v>
      </c>
      <c r="W31" s="13">
        <f t="shared" si="1"/>
        <v>15.305202754974051</v>
      </c>
      <c r="X31" s="2">
        <f>AVERAGEIFS(Datos!$F:$F,Datos!$A:$A,Tablas!$C$18,Datos!$B:$B,Tablas!$C$3,Datos!$C:$C,Tablas!T31)</f>
        <v>53932</v>
      </c>
      <c r="Y31" s="14">
        <f t="shared" si="2"/>
        <v>-15.305202754974051</v>
      </c>
      <c r="AA31" t="e" vm="59">
        <v>#VALUE!</v>
      </c>
      <c r="AB31" cm="1" vm="60">
        <f t="array" aca="1" ref="AB31" ca="1">_FV(AA31,"Población")</f>
        <v>20201249</v>
      </c>
    </row>
    <row r="32" spans="2:28" x14ac:dyDescent="0.3">
      <c r="T32" t="s">
        <v>29</v>
      </c>
      <c r="U32" s="13">
        <f>SUMIFS(Datos!E:E,Datos!A:A,Tablas!C$18,Datos!B:B,Tablas!C$3,Datos!C:C,Tablas!T32)</f>
        <v>708995</v>
      </c>
      <c r="V32" vm="60">
        <v>20201249</v>
      </c>
      <c r="W32" s="13">
        <f t="shared" si="1"/>
        <v>35.09659229486256</v>
      </c>
      <c r="X32" s="2">
        <f>AVERAGEIFS(Datos!$F:$F,Datos!$A:$A,Tablas!$C$18,Datos!$B:$B,Tablas!$C$3,Datos!$C:$C,Tablas!T32)</f>
        <v>189559</v>
      </c>
      <c r="Y32" s="14">
        <f t="shared" si="2"/>
        <v>-35.09659229486256</v>
      </c>
      <c r="AA32" t="e" vm="61">
        <v>#VALUE!</v>
      </c>
      <c r="AB32" cm="1" vm="62">
        <f t="array" aca="1" ref="AB32" ca="1">_FV(AA32,"Población")</f>
        <v>11046024</v>
      </c>
    </row>
    <row r="33" spans="20:28" x14ac:dyDescent="0.3">
      <c r="T33" t="s">
        <v>30</v>
      </c>
      <c r="U33" s="13">
        <f>SUMIFS(Datos!E:E,Datos!A:A,Tablas!C$18,Datos!B:B,Tablas!C$3,Datos!C:C,Tablas!T33)</f>
        <v>226679</v>
      </c>
      <c r="V33" vm="62">
        <v>11046024</v>
      </c>
      <c r="W33" s="13">
        <f t="shared" si="1"/>
        <v>20.521320612738123</v>
      </c>
      <c r="X33" s="2">
        <f>AVERAGEIFS(Datos!$F:$F,Datos!$A:$A,Tablas!$C$18,Datos!$B:$B,Tablas!$C$3,Datos!$C:$C,Tablas!T33)</f>
        <v>82975</v>
      </c>
      <c r="Y33" s="14">
        <f t="shared" si="2"/>
        <v>-20.521320612738123</v>
      </c>
      <c r="AA33" t="e" vm="63">
        <v>#VALUE!</v>
      </c>
      <c r="AB33" cm="1" vm="64">
        <f t="array" aca="1" ref="AB33" ca="1">_FV(AA33,"Población")</f>
        <v>796568</v>
      </c>
    </row>
    <row r="34" spans="20:28" x14ac:dyDescent="0.3">
      <c r="T34" t="s">
        <v>31</v>
      </c>
      <c r="U34" s="13">
        <f>SUMIFS(Datos!E:E,Datos!A:A,Tablas!C$18,Datos!B:B,Tablas!C$3,Datos!C:C,Tablas!T34)</f>
        <v>23135</v>
      </c>
      <c r="V34" vm="64">
        <v>796568</v>
      </c>
      <c r="W34" s="13">
        <f t="shared" si="1"/>
        <v>29.043345954143273</v>
      </c>
      <c r="X34" s="2">
        <f>AVERAGEIFS(Datos!$F:$F,Datos!$A:$A,Tablas!$C$18,Datos!$B:$B,Tablas!$C$3,Datos!$C:$C,Tablas!T34)</f>
        <v>60044</v>
      </c>
      <c r="Y34" s="14">
        <f t="shared" si="2"/>
        <v>-29.043345954143273</v>
      </c>
      <c r="AA34" t="e" vm="65">
        <v>#VALUE!</v>
      </c>
      <c r="AB34" cm="1" vm="66">
        <f t="array" aca="1" ref="AB34" ca="1">_FV(AA34,"Población")</f>
        <v>11883304</v>
      </c>
    </row>
    <row r="35" spans="20:28" x14ac:dyDescent="0.3">
      <c r="T35" t="s">
        <v>32</v>
      </c>
      <c r="U35" s="13">
        <f>SUMIFS(Datos!E:E,Datos!A:A,Tablas!C$18,Datos!B:B,Tablas!C$3,Datos!C:C,Tablas!T35)</f>
        <v>288615</v>
      </c>
      <c r="V35" vm="66">
        <v>11883304</v>
      </c>
      <c r="W35" s="13">
        <f t="shared" si="1"/>
        <v>24.28743723126161</v>
      </c>
      <c r="X35" s="2">
        <f>AVERAGEIFS(Datos!$F:$F,Datos!$A:$A,Tablas!$C$18,Datos!$B:$B,Tablas!$C$3,Datos!$C:$C,Tablas!T35)</f>
        <v>69967</v>
      </c>
      <c r="Y35" s="14">
        <f t="shared" si="2"/>
        <v>-24.28743723126161</v>
      </c>
      <c r="AA35" t="e" vm="67">
        <v>#VALUE!</v>
      </c>
      <c r="AB35" cm="1" vm="68">
        <f t="array" aca="1" ref="AB35" ca="1">_FV(AA35,"Población")</f>
        <v>4095393</v>
      </c>
    </row>
    <row r="36" spans="20:28" x14ac:dyDescent="0.3">
      <c r="T36" t="s">
        <v>33</v>
      </c>
      <c r="U36" s="13">
        <f>SUMIFS(Datos!E:E,Datos!A:A,Tablas!C$18,Datos!B:B,Tablas!C$3,Datos!C:C,Tablas!T36)</f>
        <v>76757</v>
      </c>
      <c r="V36" vm="68">
        <v>4095393</v>
      </c>
      <c r="W36" s="13">
        <f t="shared" si="1"/>
        <v>18.742279434476739</v>
      </c>
      <c r="X36" s="2">
        <f>AVERAGEIFS(Datos!$F:$F,Datos!$A:$A,Tablas!$C$18,Datos!$B:$B,Tablas!$C$3,Datos!$C:$C,Tablas!T36)</f>
        <v>56323</v>
      </c>
      <c r="Y36" s="14">
        <f t="shared" si="2"/>
        <v>-18.742279434476739</v>
      </c>
      <c r="AA36" t="e" vm="69">
        <v>#VALUE!</v>
      </c>
      <c r="AB36" cm="1" vm="70">
        <f t="array" aca="1" ref="AB36" ca="1">_FV(AA36,"Población")</f>
        <v>4272371</v>
      </c>
    </row>
    <row r="37" spans="20:28" x14ac:dyDescent="0.3">
      <c r="T37" t="s">
        <v>34</v>
      </c>
      <c r="U37" s="13">
        <f>SUMIFS(Datos!E:E,Datos!A:A,Tablas!C$18,Datos!B:B,Tablas!C$3,Datos!C:C,Tablas!T37)</f>
        <v>83715</v>
      </c>
      <c r="V37" vm="70">
        <v>4272371</v>
      </c>
      <c r="W37" s="13">
        <f t="shared" si="1"/>
        <v>19.59450618871816</v>
      </c>
      <c r="X37" s="2">
        <f>AVERAGEIFS(Datos!$F:$F,Datos!$A:$A,Tablas!$C$18,Datos!$B:$B,Tablas!$C$3,Datos!$C:$C,Tablas!T37)</f>
        <v>67638</v>
      </c>
      <c r="Y37" s="14">
        <f t="shared" si="2"/>
        <v>-19.59450618871816</v>
      </c>
      <c r="AA37" t="e" vm="71">
        <v>#VALUE!</v>
      </c>
      <c r="AB37" cm="1" vm="72">
        <f t="array" aca="1" ref="AB37" ca="1">_FV(AA37,"Población")</f>
        <v>13078751</v>
      </c>
    </row>
    <row r="38" spans="20:28" x14ac:dyDescent="0.3">
      <c r="T38" t="s">
        <v>35</v>
      </c>
      <c r="U38" s="13">
        <f>SUMIFS(Datos!E:E,Datos!A:A,Tablas!C$18,Datos!B:B,Tablas!C$3,Datos!C:C,Tablas!T38)</f>
        <v>321121</v>
      </c>
      <c r="V38" vm="72">
        <v>13078751</v>
      </c>
      <c r="W38" s="13">
        <f t="shared" si="1"/>
        <v>24.552879705409179</v>
      </c>
      <c r="X38" s="2">
        <f>AVERAGEIFS(Datos!$F:$F,Datos!$A:$A,Tablas!$C$18,Datos!$B:$B,Tablas!$C$3,Datos!$C:$C,Tablas!T38)</f>
        <v>85405</v>
      </c>
      <c r="Y38" s="14">
        <f t="shared" si="2"/>
        <v>-24.552879705409179</v>
      </c>
      <c r="AA38" t="e" vm="73">
        <v>#VALUE!</v>
      </c>
      <c r="AB38" cm="1" vm="74">
        <f t="array" aca="1" ref="AB38" ca="1">_FV(AA38,"Población")</f>
        <v>1112308</v>
      </c>
    </row>
    <row r="39" spans="20:28" x14ac:dyDescent="0.3">
      <c r="T39" t="s">
        <v>36</v>
      </c>
      <c r="U39" s="13">
        <f>SUMIFS(Datos!E:E,Datos!A:A,Tablas!C$18,Datos!B:B,Tablas!C$3,Datos!C:C,Tablas!T39)</f>
        <v>32758</v>
      </c>
      <c r="V39" vm="74">
        <v>1112308</v>
      </c>
      <c r="W39" s="13">
        <f t="shared" si="1"/>
        <v>29.450475947309556</v>
      </c>
      <c r="X39" s="2">
        <f>AVERAGEIFS(Datos!$F:$F,Datos!$A:$A,Tablas!$C$18,Datos!$B:$B,Tablas!$C$3,Datos!$C:$C,Tablas!T39)</f>
        <v>89570</v>
      </c>
      <c r="Y39" s="14">
        <f t="shared" si="2"/>
        <v>-29.450475947309556</v>
      </c>
      <c r="AA39" t="e" vm="75">
        <v>#VALUE!</v>
      </c>
      <c r="AB39" cm="1" vm="76">
        <f t="array" aca="1" ref="AB39" ca="1">_FV(AA39,"Población")</f>
        <v>5478831</v>
      </c>
    </row>
    <row r="40" spans="20:28" x14ac:dyDescent="0.3">
      <c r="T40" t="s">
        <v>37</v>
      </c>
      <c r="U40" s="13">
        <f>SUMIFS(Datos!E:E,Datos!A:A,Tablas!C$18,Datos!B:B,Tablas!C$3,Datos!C:C,Tablas!T40)</f>
        <v>98790</v>
      </c>
      <c r="V40" vm="76">
        <v>5478831</v>
      </c>
      <c r="W40" s="13">
        <f t="shared" si="1"/>
        <v>18.031218703405891</v>
      </c>
      <c r="X40" s="2">
        <f>AVERAGEIFS(Datos!$F:$F,Datos!$A:$A,Tablas!$C$18,Datos!$B:$B,Tablas!$C$3,Datos!$C:$C,Tablas!T40)</f>
        <v>59859</v>
      </c>
      <c r="Y40" s="14">
        <f t="shared" si="2"/>
        <v>-18.031218703405891</v>
      </c>
      <c r="AA40" t="e" vm="77">
        <v>#VALUE!</v>
      </c>
      <c r="AB40" cm="1" vm="78">
        <f t="array" aca="1" ref="AB40" ca="1">_FV(AA40,"Población")</f>
        <v>924669</v>
      </c>
    </row>
    <row r="41" spans="20:28" x14ac:dyDescent="0.3">
      <c r="T41" t="s">
        <v>38</v>
      </c>
      <c r="U41" s="13">
        <f>SUMIFS(Datos!E:E,Datos!A:A,Tablas!C$18,Datos!B:B,Tablas!C$3,Datos!C:C,Tablas!T41)</f>
        <v>28761</v>
      </c>
      <c r="V41" vm="78">
        <v>924669</v>
      </c>
      <c r="W41" s="13">
        <f t="shared" si="1"/>
        <v>31.104103198009234</v>
      </c>
      <c r="X41" s="2">
        <f>AVERAGEIFS(Datos!$F:$F,Datos!$A:$A,Tablas!$C$18,Datos!$B:$B,Tablas!$C$3,Datos!$C:$C,Tablas!T41)</f>
        <v>57506</v>
      </c>
      <c r="Y41" s="14">
        <f t="shared" si="2"/>
        <v>-31.104103198009234</v>
      </c>
      <c r="AA41" t="e" vm="79">
        <v>#VALUE!</v>
      </c>
      <c r="AB41" cm="1" vm="80">
        <f t="array" aca="1" ref="AB41" ca="1">_FV(AA41,"Población")</f>
        <v>6910840</v>
      </c>
    </row>
    <row r="42" spans="20:28" x14ac:dyDescent="0.3">
      <c r="T42" t="s">
        <v>39</v>
      </c>
      <c r="U42" s="13">
        <f>SUMIFS(Datos!E:E,Datos!A:A,Tablas!C$18,Datos!B:B,Tablas!C$3,Datos!C:C,Tablas!T42)</f>
        <v>148433</v>
      </c>
      <c r="V42" vm="80">
        <v>6910840</v>
      </c>
      <c r="W42" s="13">
        <f t="shared" si="1"/>
        <v>21.47828628647169</v>
      </c>
      <c r="X42" s="2">
        <f>AVERAGEIFS(Datos!$F:$F,Datos!$A:$A,Tablas!$C$18,Datos!$B:$B,Tablas!$C$3,Datos!$C:$C,Tablas!T42)</f>
        <v>71601</v>
      </c>
      <c r="Y42" s="14">
        <f t="shared" si="2"/>
        <v>-21.47828628647169</v>
      </c>
      <c r="AA42" t="e" vm="81">
        <v>#VALUE!</v>
      </c>
      <c r="AB42" cm="1" vm="82">
        <f t="array" aca="1" ref="AB42" ca="1">_FV(AA42,"Población")</f>
        <v>31290831</v>
      </c>
    </row>
    <row r="43" spans="20:28" x14ac:dyDescent="0.3">
      <c r="T43" t="s">
        <v>40</v>
      </c>
      <c r="U43" s="13">
        <f>SUMIFS(Datos!E:E,Datos!A:A,Tablas!C$18,Datos!B:B,Tablas!C$3,Datos!C:C,Tablas!T43)</f>
        <v>740328</v>
      </c>
      <c r="V43" vm="82">
        <v>31290831</v>
      </c>
      <c r="W43" s="13">
        <f t="shared" si="1"/>
        <v>23.659582578679359</v>
      </c>
      <c r="X43" s="2">
        <f>AVERAGEIFS(Datos!$F:$F,Datos!$A:$A,Tablas!$C$18,Datos!$B:$B,Tablas!$C$3,Datos!$C:$C,Tablas!T43)</f>
        <v>80242</v>
      </c>
      <c r="Y43" s="14">
        <f t="shared" si="2"/>
        <v>-23.659582578679359</v>
      </c>
      <c r="AA43" t="e" vm="83">
        <v>#VALUE!</v>
      </c>
      <c r="AB43" cm="1" vm="84">
        <f t="array" aca="1" ref="AB43" ca="1">_FV(AA43,"Población")</f>
        <v>3503613</v>
      </c>
    </row>
    <row r="44" spans="20:28" x14ac:dyDescent="0.3">
      <c r="T44" t="s">
        <v>41</v>
      </c>
      <c r="U44" s="13">
        <f>SUMIFS(Datos!E:E,Datos!A:A,Tablas!C$18,Datos!B:B,Tablas!C$3,Datos!C:C,Tablas!T44)</f>
        <v>84072</v>
      </c>
      <c r="V44" vm="84">
        <v>3503613</v>
      </c>
      <c r="W44" s="13">
        <f t="shared" si="1"/>
        <v>23.995800906093226</v>
      </c>
      <c r="X44" s="2">
        <f>AVERAGEIFS(Datos!$F:$F,Datos!$A:$A,Tablas!$C$18,Datos!$B:$B,Tablas!$C$3,Datos!$C:$C,Tablas!T44)</f>
        <v>64760</v>
      </c>
      <c r="Y44" s="14">
        <f t="shared" si="2"/>
        <v>-23.995800906093226</v>
      </c>
      <c r="AA44" t="e" vm="85">
        <v>#VALUE!</v>
      </c>
      <c r="AB44" cm="1" vm="86">
        <f t="array" aca="1" ref="AB44" ca="1">_FV(AA44,"Población")</f>
        <v>648493</v>
      </c>
    </row>
    <row r="45" spans="20:28" x14ac:dyDescent="0.3">
      <c r="T45" t="s">
        <v>42</v>
      </c>
      <c r="U45" s="13">
        <f>SUMIFS(Datos!E:E,Datos!A:A,Tablas!C$18,Datos!B:B,Tablas!C$3,Datos!C:C,Tablas!T45)</f>
        <v>11731</v>
      </c>
      <c r="V45" vm="86">
        <v>648493</v>
      </c>
      <c r="W45" s="13">
        <f t="shared" si="1"/>
        <v>18.089632424713916</v>
      </c>
      <c r="X45" s="2">
        <f>AVERAGEIFS(Datos!$F:$F,Datos!$A:$A,Tablas!$C$18,Datos!$B:$B,Tablas!$C$3,Datos!$C:$C,Tablas!T45)</f>
        <v>70768</v>
      </c>
      <c r="Y45" s="14">
        <f t="shared" si="2"/>
        <v>-18.089632424713916</v>
      </c>
      <c r="AA45" t="e" vm="87">
        <v>#VALUE!</v>
      </c>
      <c r="AB45" cm="1" vm="88">
        <f t="array" aca="1" ref="AB45" ca="1">_FV(AA45,"Población")</f>
        <v>8811195</v>
      </c>
    </row>
    <row r="46" spans="20:28" x14ac:dyDescent="0.3">
      <c r="T46" t="s">
        <v>43</v>
      </c>
      <c r="U46" s="13">
        <f>SUMIFS(Datos!E:E,Datos!A:A,Tablas!C$18,Datos!B:B,Tablas!C$3,Datos!C:C,Tablas!T46)</f>
        <v>192079</v>
      </c>
      <c r="V46" vm="88">
        <v>8811195</v>
      </c>
      <c r="W46" s="13">
        <f t="shared" si="1"/>
        <v>21.799426751989941</v>
      </c>
      <c r="X46" s="2">
        <f>AVERAGEIFS(Datos!$F:$F,Datos!$A:$A,Tablas!$C$18,Datos!$B:$B,Tablas!$C$3,Datos!$C:$C,Tablas!T46)</f>
        <v>82201</v>
      </c>
      <c r="Y46" s="14">
        <f t="shared" si="2"/>
        <v>-21.799426751989941</v>
      </c>
      <c r="AA46" t="e" vm="89">
        <v>#VALUE!</v>
      </c>
      <c r="AB46" cm="1" vm="90">
        <f t="array" aca="1" ref="AB46" ca="1">_FV(AA46,"Población")</f>
        <v>7705281</v>
      </c>
    </row>
    <row r="47" spans="20:28" x14ac:dyDescent="0.3">
      <c r="T47" t="s">
        <v>44</v>
      </c>
      <c r="U47" s="13">
        <f>SUMIFS(Datos!E:E,Datos!A:A,Tablas!C$18,Datos!B:B,Tablas!C$3,Datos!C:C,Tablas!T47)</f>
        <v>144458</v>
      </c>
      <c r="V47" vm="90">
        <v>7705281</v>
      </c>
      <c r="W47" s="13">
        <f t="shared" si="1"/>
        <v>18.747921068680039</v>
      </c>
      <c r="X47" s="2">
        <f>AVERAGEIFS(Datos!$F:$F,Datos!$A:$A,Tablas!$C$18,Datos!$B:$B,Tablas!$C$3,Datos!$C:$C,Tablas!T47)</f>
        <v>76957</v>
      </c>
      <c r="Y47" s="14">
        <f t="shared" si="2"/>
        <v>-18.747921068680039</v>
      </c>
      <c r="AA47" t="e" vm="91">
        <v>#VALUE!</v>
      </c>
      <c r="AB47" cm="1" vm="92">
        <f t="array" aca="1" ref="AB47" ca="1">_FV(AA47,"Población")</f>
        <v>1769979</v>
      </c>
    </row>
    <row r="48" spans="20:28" x14ac:dyDescent="0.3">
      <c r="T48" t="s">
        <v>45</v>
      </c>
      <c r="U48" s="13">
        <f>SUMIFS(Datos!E:E,Datos!A:A,Tablas!C$18,Datos!B:B,Tablas!C$3,Datos!C:C,Tablas!T48)</f>
        <v>24123</v>
      </c>
      <c r="V48" vm="92">
        <v>1769979</v>
      </c>
      <c r="W48" s="13">
        <f t="shared" si="1"/>
        <v>13.628975259028497</v>
      </c>
      <c r="X48" s="2">
        <f>AVERAGEIFS(Datos!$F:$F,Datos!$A:$A,Tablas!$C$18,Datos!$B:$B,Tablas!$C$3,Datos!$C:$C,Tablas!T48)</f>
        <v>50354</v>
      </c>
      <c r="Y48" s="14">
        <f t="shared" si="2"/>
        <v>-13.628975259028497</v>
      </c>
      <c r="AA48" t="e" vm="93">
        <v>#VALUE!</v>
      </c>
      <c r="AB48" cm="1" vm="94">
        <f t="array" aca="1" ref="AB48" ca="1">_FV(AA48,"Población")</f>
        <v>5960975</v>
      </c>
    </row>
    <row r="49" spans="20:28" x14ac:dyDescent="0.3">
      <c r="T49" t="s">
        <v>46</v>
      </c>
      <c r="U49" s="13">
        <f>SUMIFS(Datos!E:E,Datos!A:A,Tablas!C$18,Datos!B:B,Tablas!C$3,Datos!C:C,Tablas!T49)</f>
        <v>148873</v>
      </c>
      <c r="V49" vm="94">
        <v>5960975</v>
      </c>
      <c r="W49" s="13">
        <f t="shared" si="1"/>
        <v>24.974605664341823</v>
      </c>
      <c r="X49" s="2">
        <f>AVERAGEIFS(Datos!$F:$F,Datos!$A:$A,Tablas!$C$18,Datos!$B:$B,Tablas!$C$3,Datos!$C:$C,Tablas!T49)</f>
        <v>68759</v>
      </c>
      <c r="Y49" s="14">
        <f t="shared" si="2"/>
        <v>-24.974605664341823</v>
      </c>
      <c r="AA49" t="e" vm="95">
        <v>#VALUE!</v>
      </c>
      <c r="AB49" cm="1" vm="96">
        <f t="array" aca="1" ref="AB49" ca="1">_FV(AA49,"Población")</f>
        <v>587618</v>
      </c>
    </row>
    <row r="50" spans="20:28" x14ac:dyDescent="0.3">
      <c r="T50" t="s">
        <v>47</v>
      </c>
      <c r="U50" s="13">
        <f>SUMIFS(Datos!E:E,Datos!A:A,Tablas!C$18,Datos!B:B,Tablas!C$3,Datos!C:C,Tablas!T50)</f>
        <v>10938</v>
      </c>
      <c r="V50" vm="96">
        <v>587618</v>
      </c>
      <c r="W50" s="13">
        <f t="shared" si="1"/>
        <v>18.614133671875265</v>
      </c>
      <c r="X50" s="2">
        <f>AVERAGEIFS(Datos!$F:$F,Datos!$A:$A,Tablas!$C$18,Datos!$B:$B,Tablas!$C$3,Datos!$C:$C,Tablas!T50)</f>
        <v>54692</v>
      </c>
      <c r="Y50" s="14">
        <f t="shared" si="2"/>
        <v>-18.614133671875265</v>
      </c>
    </row>
  </sheetData>
  <mergeCells count="23">
    <mergeCell ref="T1:X1"/>
    <mergeCell ref="J19:K19"/>
    <mergeCell ref="J18:K18"/>
    <mergeCell ref="I17:K17"/>
    <mergeCell ref="J12:K12"/>
    <mergeCell ref="J11:K11"/>
    <mergeCell ref="N1:P1"/>
    <mergeCell ref="A1:C1"/>
    <mergeCell ref="J21:K21"/>
    <mergeCell ref="J20:K20"/>
    <mergeCell ref="B28:C28"/>
    <mergeCell ref="E1:G1"/>
    <mergeCell ref="I1:K1"/>
    <mergeCell ref="B17:C17"/>
    <mergeCell ref="J10:K10"/>
    <mergeCell ref="J9:K9"/>
    <mergeCell ref="J8:K8"/>
    <mergeCell ref="J7:K7"/>
    <mergeCell ref="J6:K6"/>
    <mergeCell ref="J5:K5"/>
    <mergeCell ref="J4:K4"/>
    <mergeCell ref="J3:K3"/>
    <mergeCell ref="J2:K2"/>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3B108-F856-4F40-B47E-0787CFFD5DEA}">
  <sheetPr codeName="Sheet6"/>
  <dimension ref="A1:Q65"/>
  <sheetViews>
    <sheetView showGridLines="0" tabSelected="1" zoomScale="60" zoomScaleNormal="60" workbookViewId="0">
      <selection activeCell="O2" sqref="O2"/>
    </sheetView>
  </sheetViews>
  <sheetFormatPr baseColWidth="10" defaultColWidth="0" defaultRowHeight="14.4" zeroHeight="1" x14ac:dyDescent="0.3"/>
  <cols>
    <col min="1" max="1" width="9" customWidth="1"/>
    <col min="2" max="2" width="39.109375" customWidth="1"/>
    <col min="3" max="3" width="16" customWidth="1"/>
    <col min="4" max="4" width="10.77734375" customWidth="1"/>
    <col min="5" max="5" width="11" customWidth="1"/>
    <col min="6" max="6" width="43.77734375" customWidth="1"/>
    <col min="7" max="8" width="10.77734375" customWidth="1"/>
    <col min="9" max="9" width="5.77734375" customWidth="1"/>
    <col min="10" max="10" width="3.33203125" customWidth="1"/>
    <col min="11" max="11" width="5.33203125" customWidth="1"/>
    <col min="12" max="12" width="1.77734375" customWidth="1"/>
    <col min="13" max="13" width="43.77734375" customWidth="1"/>
    <col min="14" max="17" width="10.77734375" customWidth="1"/>
    <col min="18" max="16384" width="10.77734375" hidden="1"/>
  </cols>
  <sheetData>
    <row r="1" spans="1:4" ht="15.6" x14ac:dyDescent="0.3">
      <c r="A1" s="23">
        <v>2</v>
      </c>
    </row>
    <row r="2" spans="1:4" ht="18" x14ac:dyDescent="0.35">
      <c r="A2" s="24">
        <v>6</v>
      </c>
    </row>
    <row r="3" spans="1:4" x14ac:dyDescent="0.3"/>
    <row r="4" spans="1:4" x14ac:dyDescent="0.3">
      <c r="A4" s="27">
        <v>1</v>
      </c>
    </row>
    <row r="5" spans="1:4" x14ac:dyDescent="0.3"/>
    <row r="6" spans="1:4" x14ac:dyDescent="0.3"/>
    <row r="7" spans="1:4" ht="28.8" x14ac:dyDescent="0.55000000000000004">
      <c r="B7" s="4" t="str" cm="1">
        <f t="array" ref="B7">_xlfn.XLOOKUP(A2,Tablas!A3:A12,_xlfn.ANCHORARRAY(Tablas!B3))</f>
        <v>Finanzas</v>
      </c>
      <c r="C7" s="5"/>
      <c r="D7" s="4">
        <f>_xlfn.XLOOKUP(A4,Tablas!M3:M6,Tablas!N3:N6)</f>
        <v>2021</v>
      </c>
    </row>
    <row r="8" spans="1:4" ht="10.95" customHeight="1" x14ac:dyDescent="0.3"/>
    <row r="9" spans="1:4" ht="1.05" customHeight="1" x14ac:dyDescent="0.3"/>
    <row r="10" spans="1:4" x14ac:dyDescent="0.3"/>
    <row r="11" spans="1:4" ht="25.05" customHeight="1" x14ac:dyDescent="0.3"/>
    <row r="12" spans="1:4" x14ac:dyDescent="0.3"/>
    <row r="13" spans="1:4" x14ac:dyDescent="0.3"/>
    <row r="14" spans="1:4" x14ac:dyDescent="0.3"/>
    <row r="15" spans="1:4" x14ac:dyDescent="0.3"/>
    <row r="16" spans="1:4" x14ac:dyDescent="0.3"/>
    <row r="17" customFormat="1" x14ac:dyDescent="0.3"/>
    <row r="18" customFormat="1" x14ac:dyDescent="0.3"/>
    <row r="19" customFormat="1" x14ac:dyDescent="0.3"/>
    <row r="20" customFormat="1" x14ac:dyDescent="0.3"/>
    <row r="21" customFormat="1" x14ac:dyDescent="0.3"/>
    <row r="22" customFormat="1" x14ac:dyDescent="0.3"/>
    <row r="23" customFormat="1" x14ac:dyDescent="0.3"/>
    <row r="24" customFormat="1" x14ac:dyDescent="0.3"/>
    <row r="25" customFormat="1" x14ac:dyDescent="0.3"/>
    <row r="26" customFormat="1" x14ac:dyDescent="0.3"/>
    <row r="27" customFormat="1" x14ac:dyDescent="0.3"/>
    <row r="28" customFormat="1" x14ac:dyDescent="0.3"/>
    <row r="29" customFormat="1" x14ac:dyDescent="0.3"/>
    <row r="30" customFormat="1" x14ac:dyDescent="0.3"/>
    <row r="31" customFormat="1" x14ac:dyDescent="0.3"/>
    <row r="32" customFormat="1" x14ac:dyDescent="0.3"/>
    <row r="33" customFormat="1" x14ac:dyDescent="0.3"/>
    <row r="34" customFormat="1" x14ac:dyDescent="0.3"/>
    <row r="35" customFormat="1" x14ac:dyDescent="0.3"/>
    <row r="36" customFormat="1" x14ac:dyDescent="0.3"/>
    <row r="37" customFormat="1" x14ac:dyDescent="0.3"/>
    <row r="38" customFormat="1" x14ac:dyDescent="0.3"/>
    <row r="39" customFormat="1" x14ac:dyDescent="0.3"/>
    <row r="40" customFormat="1" x14ac:dyDescent="0.3"/>
    <row r="41" customFormat="1" x14ac:dyDescent="0.3"/>
    <row r="42" customFormat="1" x14ac:dyDescent="0.3"/>
    <row r="43" customFormat="1" x14ac:dyDescent="0.3"/>
    <row r="44" customFormat="1" x14ac:dyDescent="0.3"/>
    <row r="45" customFormat="1" x14ac:dyDescent="0.3"/>
    <row r="46" customFormat="1" x14ac:dyDescent="0.3"/>
    <row r="47" customFormat="1" x14ac:dyDescent="0.3"/>
    <row r="48" customFormat="1" hidden="1" x14ac:dyDescent="0.3"/>
    <row r="49" customFormat="1" hidden="1" x14ac:dyDescent="0.3"/>
    <row r="50" customFormat="1" hidden="1" x14ac:dyDescent="0.3"/>
    <row r="51" customFormat="1" hidden="1" x14ac:dyDescent="0.3"/>
    <row r="52" customFormat="1" hidden="1" x14ac:dyDescent="0.3"/>
    <row r="53" customFormat="1" hidden="1" x14ac:dyDescent="0.3"/>
    <row r="54" customFormat="1" hidden="1" x14ac:dyDescent="0.3"/>
    <row r="55" customFormat="1" hidden="1" x14ac:dyDescent="0.3"/>
    <row r="56" customFormat="1" hidden="1" x14ac:dyDescent="0.3"/>
    <row r="57" customFormat="1" hidden="1" x14ac:dyDescent="0.3"/>
    <row r="58" customFormat="1" hidden="1" x14ac:dyDescent="0.3"/>
    <row r="59" customFormat="1" hidden="1" x14ac:dyDescent="0.3"/>
    <row r="60" customFormat="1" hidden="1" x14ac:dyDescent="0.3"/>
    <row r="61" customFormat="1" hidden="1" x14ac:dyDescent="0.3"/>
    <row r="62" customFormat="1" hidden="1" x14ac:dyDescent="0.3"/>
    <row r="63" customFormat="1" hidden="1" x14ac:dyDescent="0.3"/>
    <row r="64" customFormat="1" hidden="1" x14ac:dyDescent="0.3"/>
    <row r="65" customFormat="1" hidden="1" x14ac:dyDescent="0.3"/>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3073" r:id="rId3" name="Option Button 1">
              <controlPr defaultSize="0" autoFill="0" autoLine="0" autoPict="0">
                <anchor moveWithCells="1">
                  <from>
                    <xdr:col>8</xdr:col>
                    <xdr:colOff>144780</xdr:colOff>
                    <xdr:row>10</xdr:row>
                    <xdr:rowOff>68580</xdr:rowOff>
                  </from>
                  <to>
                    <xdr:col>12</xdr:col>
                    <xdr:colOff>1295400</xdr:colOff>
                    <xdr:row>13</xdr:row>
                    <xdr:rowOff>106680</xdr:rowOff>
                  </to>
                </anchor>
              </controlPr>
            </control>
          </mc:Choice>
        </mc:AlternateContent>
        <mc:AlternateContent xmlns:mc="http://schemas.openxmlformats.org/markup-compatibility/2006">
          <mc:Choice Requires="x14">
            <control shapeId="3074" r:id="rId4" name="Option Button 2">
              <controlPr defaultSize="0" autoFill="0" autoLine="0" autoPict="0">
                <anchor moveWithCells="1">
                  <from>
                    <xdr:col>12</xdr:col>
                    <xdr:colOff>1912620</xdr:colOff>
                    <xdr:row>10</xdr:row>
                    <xdr:rowOff>76200</xdr:rowOff>
                  </from>
                  <to>
                    <xdr:col>13</xdr:col>
                    <xdr:colOff>640080</xdr:colOff>
                    <xdr:row>13</xdr:row>
                    <xdr:rowOff>76200</xdr:rowOff>
                  </to>
                </anchor>
              </controlPr>
            </control>
          </mc:Choice>
        </mc:AlternateContent>
        <mc:AlternateContent xmlns:mc="http://schemas.openxmlformats.org/markup-compatibility/2006">
          <mc:Choice Requires="x14">
            <control shapeId="3075" r:id="rId5" name="Spinner 3">
              <controlPr defaultSize="0" autoPict="0">
                <anchor moveWithCells="1" sizeWithCells="1">
                  <from>
                    <xdr:col>2</xdr:col>
                    <xdr:colOff>0</xdr:colOff>
                    <xdr:row>5</xdr:row>
                    <xdr:rowOff>152400</xdr:rowOff>
                  </from>
                  <to>
                    <xdr:col>2</xdr:col>
                    <xdr:colOff>647700</xdr:colOff>
                    <xdr:row>7</xdr:row>
                    <xdr:rowOff>30480</xdr:rowOff>
                  </to>
                </anchor>
              </controlPr>
            </control>
          </mc:Choice>
        </mc:AlternateContent>
        <mc:AlternateContent xmlns:mc="http://schemas.openxmlformats.org/markup-compatibility/2006">
          <mc:Choice Requires="x14">
            <control shapeId="3076" r:id="rId6" name="Spinner 4">
              <controlPr defaultSize="0" autoPict="0">
                <anchor moveWithCells="1" sizeWithCells="1">
                  <from>
                    <xdr:col>4</xdr:col>
                    <xdr:colOff>0</xdr:colOff>
                    <xdr:row>6</xdr:row>
                    <xdr:rowOff>0</xdr:rowOff>
                  </from>
                  <to>
                    <xdr:col>4</xdr:col>
                    <xdr:colOff>624840</xdr:colOff>
                    <xdr:row>7</xdr:row>
                    <xdr:rowOff>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Datos</vt:lpstr>
      <vt:lpstr>Instrucciones</vt:lpstr>
      <vt:lpstr>Tablas</vt:lpstr>
      <vt:lpstr>Dashboard (format control)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Enrique Ruiz</dc:creator>
  <cp:lastModifiedBy>Victor Elvis Lorenzo</cp:lastModifiedBy>
  <dcterms:created xsi:type="dcterms:W3CDTF">2021-09-21T20:47:02Z</dcterms:created>
  <dcterms:modified xsi:type="dcterms:W3CDTF">2025-07-21T17:45:21Z</dcterms:modified>
</cp:coreProperties>
</file>